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e75e22edcaf48c5" /></Relationships>
</file>

<file path=xl/workbook.xml><?xml version="1.0" encoding="utf-8"?>
<x:workbook xmlns:x="http://schemas.openxmlformats.org/spreadsheetml/2006/main">
  <x:sheets>
    <x:sheet xmlns:r="http://schemas.openxmlformats.org/officeDocument/2006/relationships" name="KPI_Data" sheetId="1" r:id="R44c89ac63c9d4c43"/>
    <x:sheet xmlns:r="http://schemas.openxmlformats.org/officeDocument/2006/relationships" name="Definitions" sheetId="2" r:id="R0bcbd132ecf64ac6"/>
    <x:sheet xmlns:r="http://schemas.openxmlformats.org/officeDocument/2006/relationships" name="Reviewed Insights" sheetId="3" r:id="R79ebd636ef67443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d mmm yyyy"/>
    <x:numFmt numFmtId="201" formatCode="0"/>
    <x:numFmt numFmtId="202" formatCode="0.0%"/>
    <x:numFmt numFmtId="203" formatCode="0.00%"/>
    <x:numFmt numFmtId="204" formatCode="0.00"/>
  </x:numFmts>
  <x:fonts count="10">
    <x:font>
      <x:sz val="11"/>
      <x:name val="Carlito"/>
    </x:font>
    <x:font>
      <x:b/>
      <x:sz val="11"/>
      <x:color rgb="FFFFFFFF"/>
      <x:name val="Carlito"/>
    </x:font>
    <x:font>
      <x:b/>
      <x:sz val="11"/>
      <x:color rgb="FF8A1C2B"/>
      <x:name val="Carlito"/>
    </x:font>
    <x:font>
      <x:sz val="11"/>
      <x:color rgb="FF263B52"/>
      <x:name val="Arial"/>
    </x:font>
    <x:font>
      <x:b/>
      <x:sz val="20"/>
      <x:color rgb="FFFFFFFF"/>
      <x:name val="Arial"/>
    </x:font>
    <x:font>
      <x:b/>
      <x:sz val="12"/>
      <x:color rgb="FF263B52"/>
      <x:name val="Arial"/>
    </x:font>
    <x:font>
      <x:sz val="11"/>
      <x:color rgb="FF263B52"/>
      <x:name val="Arial"/>
    </x:font>
    <x:font>
      <x:b/>
      <x:sz val="11"/>
      <x:color rgb="FFFFFFFF"/>
      <x:name val="Arial"/>
    </x:font>
    <x:font>
      <x:b/>
      <x:sz val="11"/>
      <x:color rgb="FF20583B"/>
      <x:name val="Arial"/>
    </x:font>
    <x:font>
      <x:b/>
      <x:sz val="12"/>
      <x:color rgb="FFFFFFFF"/>
      <x:name val="Arial"/>
    </x:font>
  </x:fonts>
  <x:fills count="7">
    <x:fill>
      <x:patternFill patternType="none"/>
    </x:fill>
    <x:fill>
      <x:patternFill patternType="gray125"/>
    </x:fill>
    <x:fill>
      <x:patternFill patternType="solid">
        <x:fgColor rgb="FF13294B"/>
      </x:patternFill>
    </x:fill>
    <x:fill>
      <x:patternFill patternType="solid">
        <x:fgColor rgb="FFFCEDEE"/>
      </x:patternFill>
    </x:fill>
    <x:fill>
      <x:patternFill patternType="solid">
        <x:fgColor rgb="FF152D50"/>
      </x:patternFill>
    </x:fill>
    <x:fill>
      <x:patternFill patternType="solid">
        <x:fgColor rgb="FFEEF5FA"/>
      </x:patternFill>
    </x:fill>
    <x:fill>
      <x:patternFill patternType="solid">
        <x:fgColor rgb="FFE6F3EA"/>
      </x:patternFill>
    </x:fill>
  </x:fills>
  <x:borders count="2">
    <x:border/>
    <x:border>
      <x:left style="thin">
        <x:color rgb="FFD9E0E8"/>
      </x:left>
      <x:right style="thin">
        <x:color rgb="FFD9E0E8"/>
      </x:right>
      <x:top style="thin">
        <x:color rgb="FFD9E0E8"/>
      </x:top>
      <x:bottom style="thin">
        <x:color rgb="FFD9E0E8"/>
      </x:bottom>
    </x:border>
  </x:borders>
  <x:cellStyleXfs count="1">
    <x:xf numFmtId="0" fontId="0" fillId="0" borderId="0"/>
  </x:cellStyleXfs>
  <x:cellXfs count="45">
    <x:xf numFmtId="0" fontId="0" fillId="0" borderId="0" xfId="0"/>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200" fontId="0" fillId="0" borderId="1" xfId="0" applyNumberFormat="1" applyFont="1" applyFill="1" applyBorder="1"/>
    <x:xf numFmtId="201" fontId="0" fillId="0" borderId="1" xfId="0" applyNumberFormat="1" applyFont="1" applyFill="1" applyBorder="1"/>
    <x:xf numFmtId="202" fontId="0" fillId="0" borderId="1" xfId="0" applyNumberFormat="1" applyFont="1" applyFill="1" applyBorder="1"/>
    <x:xf numFmtId="0" fontId="0" fillId="0" borderId="1" xfId="0" applyNumberFormat="1" applyFont="1" applyFill="1" applyBorder="1"/>
    <x:xf numFmtId="200" fontId="0" fillId="0" borderId="1" xfId="0" applyNumberFormat="1" applyFont="1" applyFill="1" applyBorder="1" applyAlignment="1">
      <x:alignment vertical="center"/>
    </x:xf>
    <x:xf numFmtId="201" fontId="0" fillId="0" borderId="1" xfId="0" applyNumberFormat="1" applyFont="1" applyFill="1" applyBorder="1" applyAlignment="1">
      <x:alignment vertical="center"/>
    </x:xf>
    <x:xf numFmtId="202" fontId="0" fillId="0" borderId="1"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201" fontId="3" fillId="0" borderId="0" xfId="0" applyNumberFormat="1" applyFont="1" applyFill="1" applyBorder="1" applyAlignment="1">
      <x:alignment vertical="center" wrapText="1"/>
    </x:xf>
    <x:xf numFmtId="203" fontId="3" fillId="0" borderId="0" xfId="0" applyNumberFormat="1" applyFont="1" applyFill="1" applyBorder="1" applyAlignment="1">
      <x:alignment vertical="center" wrapText="1"/>
    </x:xf>
    <x:xf numFmtId="201" fontId="3" fillId="0" borderId="0" xfId="0" applyNumberFormat="1" applyFont="1" applyFill="1" applyBorder="1" applyAlignment="1">
      <x:alignment horizontal="center" vertical="center" wrapText="1"/>
    </x:xf>
    <x:xf numFmtId="203" fontId="3" fillId="0" borderId="0" xfId="0" applyNumberFormat="1" applyFont="1" applyFill="1" applyBorder="1" applyAlignment="1">
      <x:alignment horizontal="center" vertical="center" wrapText="1"/>
    </x:xf>
    <x:xf numFmtId="0" fontId="7" fillId="4" borderId="0" xfId="0" applyNumberFormat="1" applyFont="1" applyFill="1" applyBorder="1" applyAlignment="1">
      <x:alignment vertical="center" wrapText="1"/>
    </x:xf>
    <x:xf numFmtId="0" fontId="3" fillId="0" xfId="0" applyNumberFormat="1" applyFont="1" applyFill="1" applyBorder="0" applyAlignment="1">
      <x:alignment vertical="center" wrapText="1"/>
    </x:xf>
    <x:xf numFmtId="201" fontId="3" fillId="0" xfId="0" applyNumberFormat="1" applyFont="1" applyFill="1" applyBorder="0" applyAlignment="1">
      <x:alignment horizontal="center" vertical="center" wrapText="1"/>
    </x:xf>
    <x:xf numFmtId="203" fontId="3" fillId="0" xfId="0" applyNumberFormat="1" applyFont="1" applyFill="1" applyBorder="0" applyAlignment="1">
      <x:alignment horizontal="center" vertical="center" wrapText="1"/>
    </x:xf>
    <x:xf numFmtId="0" fontId="3" fillId="6" xfId="0" applyNumberFormat="1" applyFont="1" applyFill="1" applyBorder="0" applyAlignment="1">
      <x:alignment vertical="center" wrapText="1"/>
    </x:xf>
    <x:xf numFmtId="0" fontId="8" fillId="6" xfId="0" applyNumberFormat="1" applyFont="1" applyFill="1" applyBorder="0" applyAlignment="1">
      <x:alignment vertical="center" wrapText="1"/>
    </x:xf>
    <x:xf numFmtId="0" fontId="9" fillId="4"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200" fontId="3" fillId="0" borderId="0" xfId="0" applyNumberFormat="1" applyFont="1" applyFill="1" applyBorder="1" applyAlignment="1">
      <x:alignment horizontal="center" vertical="center" wrapText="1"/>
    </x:xf>
    <x:xf numFmtId="204" fontId="3" fillId="0" borderId="0" xfId="0" applyNumberFormat="1" applyFont="1" applyFill="1" applyBorder="1" applyAlignment="1">
      <x:alignment horizontal="center" vertical="center" wrapText="1"/>
    </x:xf>
  </x:cellXfs>
  <x:cellStyles count="1">
    <x:cellStyle name="Normal" xfId="0"/>
  </x:cellStyles>
  <x:dxfs count="5">
    <x:dxf>
      <x:font>
        <x:b/>
        <x:color rgb="FF9E1B32"/>
      </x:font>
      <x:fill>
        <x:patternFill>
          <x:bgColor rgb="FFFCEDEE"/>
        </x:patternFill>
      </x:fill>
    </x:dxf>
    <x:dxf>
      <x:font>
        <x:b/>
        <x:color rgb="FFA92C39"/>
      </x:font>
      <x:fill>
        <x:patternFill patternType="solid">
          <x:bgColor rgb="FFFCE7E7"/>
        </x:patternFill>
      </x:fill>
    </x:dxf>
    <x:dxf>
      <x:font>
        <x:color rgb="FF234D2A"/>
      </x:font>
      <x:fill>
        <x:patternFill patternType="solid">
          <x:bgColor rgb="FFE2EFDA"/>
        </x:patternFill>
      </x:fill>
    </x:dxf>
    <x:dxf>
      <x:font>
        <x:color rgb="FF183D20"/>
      </x:font>
      <x:fill>
        <x:patternFill patternType="solid">
          <x:bgColor rgb="FFA9D18E"/>
        </x:patternFill>
      </x:fill>
    </x:dxf>
    <x:dxf>
      <x:font>
        <x:color rgb="FFFFFFFF"/>
      </x:font>
      <x:fill>
        <x:patternFill patternType="solid">
          <x:bgColor rgb="FF37562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4fdf4760ac46ca" /><Relationship Type="http://schemas.openxmlformats.org/officeDocument/2006/relationships/theme" Target="/xl/theme/theme1.xml" Id="Re968f9f3fb144cad" /><Relationship Type="http://schemas.openxmlformats.org/officeDocument/2006/relationships/sharedStrings" Target="/xl/sharedStrings.xml" Id="Rcf5998f5c73247ee" /><Relationship Type="http://schemas.openxmlformats.org/officeDocument/2006/relationships/worksheet" Target="/xl/worksheets/sheet1.xml" Id="R44c89ac63c9d4c43" /><Relationship Type="http://schemas.openxmlformats.org/officeDocument/2006/relationships/worksheet" Target="/xl/worksheets/sheet2.xml" Id="R0bcbd132ecf64ac6" /><Relationship Type="http://schemas.openxmlformats.org/officeDocument/2006/relationships/worksheet" Target="/xl/worksheets/sheet3.xml" Id="R79ebd636ef67443a" /></Relationships>
</file>

<file path=xl/drawings/_rels/drawing1.xml.rels>&#65279;<?xml version="1.0" encoding="utf-8"?><Relationships xmlns="http://schemas.openxmlformats.org/package/2006/relationships"><Relationship Type="http://schemas.openxmlformats.org/officeDocument/2006/relationships/chart" Target="/xl/drawings/charts/chart1.xml" Id="R7679630526a64f7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Claims turnaround exceeded SLA on 14–17 September</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Claim TAT Hours</c:v>
          </c:tx>
          <c:spPr>
            <a:ln xmlns:a="http://schemas.openxmlformats.org/drawingml/2006/main" w="19050">
              <a:solidFill>
                <a:srgbClr val="1474BB"/>
              </a:solidFill>
            </a:ln>
          </c:spPr>
          <c:marker>
            <c:symbol val="none"/>
          </c:marker>
          <c:cat>
            <c:strRef>
              <c:f>'Reviewed Insights'!$A$50:$A$77</c:f>
              <c:strCache>
                <c:ptCount val="0"/>
              </c:strCache>
            </c:strRef>
          </c:cat>
          <c:val>
            <c:numRef>
              <c:f>'Reviewed Insights'!$B$50:$B$77</c:f>
              <c:numCache>
                <c:formatCode>0</c:formatCode>
                <c:ptCount val="0"/>
              </c:numCache>
            </c:numRef>
          </c:val>
          <c:smooth val="0"/>
        </c:ser>
        <c:ser>
          <c:idx val="1"/>
          <c:order val="1"/>
          <c:tx>
            <c:v>Claim SLA Hours</c:v>
          </c:tx>
          <c:spPr>
            <a:ln xmlns:a="http://schemas.openxmlformats.org/drawingml/2006/main" w="19050">
              <a:solidFill>
                <a:srgbClr val="8793A2"/>
              </a:solidFill>
            </a:ln>
          </c:spPr>
          <c:marker>
            <c:symbol val="none"/>
          </c:marker>
          <c:cat>
            <c:strRef>
              <c:f>'Reviewed Insights'!$A$50:$A$77</c:f>
              <c:strCache>
                <c:ptCount val="0"/>
              </c:strCache>
            </c:strRef>
          </c:cat>
          <c:val>
            <c:numRef>
              <c:f>'Reviewed Insights'!$C$50:$C$77</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September 2026</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Hours</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13</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79630526a64f78"/>
        </a:graphicData>
      </a:graphic>
    </xdr:graphicFrame>
    <xdr:clientData/>
  </xdr:twoCellAnchor>
</xdr:wsDr>
</file>

<file path=xl/tables/table1.xml><?xml version="1.0" encoding="utf-8"?>
<x:table xmlns:x="http://schemas.openxmlformats.org/spreadsheetml/2006/main" id="1" name="AsteriaKPIData" displayName="AsteriaKPIData" ref="A1:J29" headerRowCount="1" totalsRowCount="0" totalsRowShown="0">
  <x:autoFilter ref="A1:J29"/>
  <x:tableColumns count="10">
    <x:tableColumn id="1" name="Date"/>
    <x:tableColumn id="2" name="Claim Volume"/>
    <x:tableColumn id="3" name="Claim TAT Hours"/>
    <x:tableColumn id="4" name="Claim SLA Hours"/>
    <x:tableColumn id="5" name="Claim SLA Status"/>
    <x:tableColumn id="6" name="Complaint Count"/>
    <x:tableColumn id="7" name="Digital Leads"/>
    <x:tableColumn id="8" name="Digital Policies"/>
    <x:tableColumn id="9" name="Digital Conversion Rate"/>
    <x:tableColumn id="10" name="Context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15ec35565f49c0" /></Relationships>
</file>

<file path=xl/worksheets/_rels/sheet3.xml.rels>&#65279;<?xml version="1.0" encoding="utf-8"?><Relationships xmlns="http://schemas.openxmlformats.org/package/2006/relationships"><Relationship Type="http://schemas.openxmlformats.org/officeDocument/2006/relationships/drawing" Target="/xl/drawings/drawing1.xml" Id="Rb92639216ec347da" /></Relationships>
</file>

<file path=xl/worksheets/sheet1.xml><?xml version="1.0" encoding="utf-8"?>
<x:worksheet xmlns:x="http://schemas.openxmlformats.org/spreadsheetml/2006/main">
  <x:sheetPr>
    <x:tabColor rgb="FF1677C8"/>
  </x:sheetPr>
  <x:sheetViews>
    <x:sheetView showGridLines="0" workbookViewId="0">
      <x:pane ySplit="1" topLeftCell="A2" activePane="bottomLeft" state="frozen"/>
    </x:sheetView>
  </x:sheetViews>
  <x:sheetFormatPr defaultRowHeight="15"/>
  <x:cols>
    <x:col min="1" max="1" width="14" hidden="0" customWidth="1"/>
    <x:col min="2" max="2" width="13" hidden="0" customWidth="1"/>
    <x:col min="3" max="3" width="14" hidden="0" customWidth="1"/>
    <x:col min="4" max="4" width="14" hidden="0" customWidth="1"/>
    <x:col min="5" max="5" width="15" hidden="0" customWidth="1"/>
    <x:col min="6" max="6" width="14" hidden="0" customWidth="1"/>
    <x:col min="7" max="7" width="13" hidden="0" customWidth="1"/>
    <x:col min="8" max="8" width="13" hidden="0" customWidth="1"/>
    <x:col min="9" max="9" width="19" hidden="0" customWidth="1"/>
    <x:col min="10" max="10" width="31" hidden="0" customWidth="1"/>
  </x:cols>
  <x:sheetData>
    <x:row r="1" ht="34" customHeight="1">
      <x:c r="A1" s="7" t="str">
        <x:v>Date</x:v>
      </x:c>
      <x:c r="B1" s="7" t="str">
        <x:v>Claim Volume</x:v>
      </x:c>
      <x:c r="C1" s="7" t="str">
        <x:v>Claim TAT Hours</x:v>
      </x:c>
      <x:c r="D1" s="7" t="str">
        <x:v>Claim SLA Hours</x:v>
      </x:c>
      <x:c r="E1" s="7" t="str">
        <x:v>Claim SLA Status</x:v>
      </x:c>
      <x:c r="F1" s="7" t="str">
        <x:v>Complaint Count</x:v>
      </x:c>
      <x:c r="G1" s="7" t="str">
        <x:v>Digital Leads</x:v>
      </x:c>
      <x:c r="H1" s="7" t="str">
        <x:v>Digital Policies</x:v>
      </x:c>
      <x:c r="I1" s="7" t="str">
        <x:v>Digital Conversion Rate</x:v>
      </x:c>
      <x:c r="J1" s="7" t="str">
        <x:v>Context Note</x:v>
      </x:c>
    </x:row>
    <x:row r="2">
      <x:c r="A2" s="12" t="n">
        <x:v>46266</x:v>
      </x:c>
      <x:c r="B2" s="13" t="n">
        <x:v>112</x:v>
      </x:c>
      <x:c r="C2" s="13" t="n">
        <x:v>39</x:v>
      </x:c>
      <x:c r="D2" s="13" t="n">
        <x:v>48</x:v>
      </x:c>
      <x:c r="E2" s="13" t="str">
        <x:f>IF(C2&gt;D2,"Above SLA","Within SLA")</x:f>
        <x:v>Within SLA</x:v>
      </x:c>
      <x:c r="F2" s="13" t="n">
        <x:v>8</x:v>
      </x:c>
      <x:c r="G2" s="13" t="n">
        <x:v>610</x:v>
      </x:c>
      <x:c r="H2" s="13" t="n">
        <x:v>101</x:v>
      </x:c>
      <x:c r="I2" s="14" t="n">
        <x:f>IF(G2=0,0,H2/G2)</x:f>
        <x:v>0.16557377049180327</x:v>
      </x:c>
      <x:c r="J2" s="16" t="str">
        <x:v>Normal operations</x:v>
      </x:c>
    </x:row>
    <x:row r="3">
      <x:c r="A3" s="12" t="n">
        <x:v>46267</x:v>
      </x:c>
      <x:c r="B3" s="13" t="n">
        <x:v>118</x:v>
      </x:c>
      <x:c r="C3" s="13" t="n">
        <x:v>40</x:v>
      </x:c>
      <x:c r="D3" s="13" t="n">
        <x:v>48</x:v>
      </x:c>
      <x:c r="E3" s="13" t="str">
        <x:f>IF(C3&gt;D3,"Above SLA","Within SLA")</x:f>
        <x:v>Within SLA</x:v>
      </x:c>
      <x:c r="F3" s="13" t="n">
        <x:v>9</x:v>
      </x:c>
      <x:c r="G3" s="13" t="n">
        <x:v>625</x:v>
      </x:c>
      <x:c r="H3" s="13" t="n">
        <x:v>103</x:v>
      </x:c>
      <x:c r="I3" s="14" t="n">
        <x:f>IF(G3=0,0,H3/G3)</x:f>
        <x:v>0.1648</x:v>
      </x:c>
      <x:c r="J3" s="16" t="str">
        <x:v>Normal operations</x:v>
      </x:c>
    </x:row>
    <x:row r="4">
      <x:c r="A4" s="12" t="n">
        <x:v>46268</x:v>
      </x:c>
      <x:c r="B4" s="13" t="n">
        <x:v>109</x:v>
      </x:c>
      <x:c r="C4" s="13" t="n">
        <x:v>38</x:v>
      </x:c>
      <x:c r="D4" s="13" t="n">
        <x:v>48</x:v>
      </x:c>
      <x:c r="E4" s="13" t="str">
        <x:f>IF(C4&gt;D4,"Above SLA","Within SLA")</x:f>
        <x:v>Within SLA</x:v>
      </x:c>
      <x:c r="F4" s="13" t="n">
        <x:v>8</x:v>
      </x:c>
      <x:c r="G4" s="13" t="n">
        <x:v>598</x:v>
      </x:c>
      <x:c r="H4" s="13" t="n">
        <x:v>100</x:v>
      </x:c>
      <x:c r="I4" s="14" t="n">
        <x:f>IF(G4=0,0,H4/G4)</x:f>
        <x:v>0.16722408026755853</x:v>
      </x:c>
      <x:c r="J4" s="16" t="str">
        <x:v>Normal operations</x:v>
      </x:c>
    </x:row>
    <x:row r="5">
      <x:c r="A5" s="12" t="n">
        <x:v>46269</x:v>
      </x:c>
      <x:c r="B5" s="13" t="n">
        <x:v>121</x:v>
      </x:c>
      <x:c r="C5" s="13" t="n">
        <x:v>42</x:v>
      </x:c>
      <x:c r="D5" s="13" t="n">
        <x:v>48</x:v>
      </x:c>
      <x:c r="E5" s="13" t="str">
        <x:f>IF(C5&gt;D5,"Above SLA","Within SLA")</x:f>
        <x:v>Within SLA</x:v>
      </x:c>
      <x:c r="F5" s="13" t="n">
        <x:v>10</x:v>
      </x:c>
      <x:c r="G5" s="13" t="n">
        <x:v>640</x:v>
      </x:c>
      <x:c r="H5" s="13" t="n">
        <x:v>104</x:v>
      </x:c>
      <x:c r="I5" s="14" t="n">
        <x:f>IF(G5=0,0,H5/G5)</x:f>
        <x:v>0.1625</x:v>
      </x:c>
      <x:c r="J5" s="16" t="str">
        <x:v>Normal operations</x:v>
      </x:c>
    </x:row>
    <x:row r="6">
      <x:c r="A6" s="12" t="n">
        <x:v>46270</x:v>
      </x:c>
      <x:c r="B6" s="13" t="n">
        <x:v>116</x:v>
      </x:c>
      <x:c r="C6" s="13" t="n">
        <x:v>41</x:v>
      </x:c>
      <x:c r="D6" s="13" t="n">
        <x:v>48</x:v>
      </x:c>
      <x:c r="E6" s="13" t="str">
        <x:f>IF(C6&gt;D6,"Above SLA","Within SLA")</x:f>
        <x:v>Within SLA</x:v>
      </x:c>
      <x:c r="F6" s="13" t="n">
        <x:v>9</x:v>
      </x:c>
      <x:c r="G6" s="13" t="n">
        <x:v>620</x:v>
      </x:c>
      <x:c r="H6" s="13" t="n">
        <x:v>102</x:v>
      </x:c>
      <x:c r="I6" s="14" t="n">
        <x:f>IF(G6=0,0,H6/G6)</x:f>
        <x:v>0.16451612903225807</x:v>
      </x:c>
      <x:c r="J6" s="16" t="str">
        <x:v>Normal operations</x:v>
      </x:c>
    </x:row>
    <x:row r="7">
      <x:c r="A7" s="12" t="n">
        <x:v>46271</x:v>
      </x:c>
      <x:c r="B7" s="13" t="n">
        <x:v>105</x:v>
      </x:c>
      <x:c r="C7" s="13" t="n">
        <x:v>40</x:v>
      </x:c>
      <x:c r="D7" s="13" t="n">
        <x:v>48</x:v>
      </x:c>
      <x:c r="E7" s="13" t="str">
        <x:f>IF(C7&gt;D7,"Above SLA","Within SLA")</x:f>
        <x:v>Within SLA</x:v>
      </x:c>
      <x:c r="F7" s="13" t="n">
        <x:v>8</x:v>
      </x:c>
      <x:c r="G7" s="13" t="n">
        <x:v>590</x:v>
      </x:c>
      <x:c r="H7" s="13" t="n">
        <x:v>98</x:v>
      </x:c>
      <x:c r="I7" s="14" t="n">
        <x:f>IF(G7=0,0,H7/G7)</x:f>
        <x:v>0.16610169491525423</x:v>
      </x:c>
      <x:c r="J7" s="16" t="str">
        <x:v>Normal operations</x:v>
      </x:c>
    </x:row>
    <x:row r="8">
      <x:c r="A8" s="12" t="n">
        <x:v>46272</x:v>
      </x:c>
      <x:c r="B8" s="13" t="n">
        <x:v>124</x:v>
      </x:c>
      <x:c r="C8" s="13" t="n">
        <x:v>43</x:v>
      </x:c>
      <x:c r="D8" s="13" t="n">
        <x:v>48</x:v>
      </x:c>
      <x:c r="E8" s="13" t="str">
        <x:f>IF(C8&gt;D8,"Above SLA","Within SLA")</x:f>
        <x:v>Within SLA</x:v>
      </x:c>
      <x:c r="F8" s="13" t="n">
        <x:v>10</x:v>
      </x:c>
      <x:c r="G8" s="13" t="n">
        <x:v>655</x:v>
      </x:c>
      <x:c r="H8" s="13" t="n">
        <x:v>106</x:v>
      </x:c>
      <x:c r="I8" s="14" t="n">
        <x:f>IF(G8=0,0,H8/G8)</x:f>
        <x:v>0.1618320610687023</x:v>
      </x:c>
      <x:c r="J8" s="16" t="str">
        <x:v>Normal operations</x:v>
      </x:c>
    </x:row>
    <x:row r="9">
      <x:c r="A9" s="12" t="n">
        <x:v>46273</x:v>
      </x:c>
      <x:c r="B9" s="13" t="n">
        <x:v>128</x:v>
      </x:c>
      <x:c r="C9" s="13" t="n">
        <x:v>44</x:v>
      </x:c>
      <x:c r="D9" s="13" t="n">
        <x:v>48</x:v>
      </x:c>
      <x:c r="E9" s="13" t="str">
        <x:f>IF(C9&gt;D9,"Above SLA","Within SLA")</x:f>
        <x:v>Within SLA</x:v>
      </x:c>
      <x:c r="F9" s="13" t="n">
        <x:v>11</x:v>
      </x:c>
      <x:c r="G9" s="13" t="n">
        <x:v>670</x:v>
      </x:c>
      <x:c r="H9" s="13" t="n">
        <x:v>108</x:v>
      </x:c>
      <x:c r="I9" s="14" t="n">
        <x:f>IF(G9=0,0,H9/G9)</x:f>
        <x:v>0.16119402985074627</x:v>
      </x:c>
      <x:c r="J9" s="16" t="str">
        <x:v>Normal operations</x:v>
      </x:c>
    </x:row>
    <x:row r="10">
      <x:c r="A10" s="12" t="n">
        <x:v>46274</x:v>
      </x:c>
      <x:c r="B10" s="13" t="n">
        <x:v>119</x:v>
      </x:c>
      <x:c r="C10" s="13" t="n">
        <x:v>42</x:v>
      </x:c>
      <x:c r="D10" s="13" t="n">
        <x:v>48</x:v>
      </x:c>
      <x:c r="E10" s="13" t="str">
        <x:f>IF(C10&gt;D10,"Above SLA","Within SLA")</x:f>
        <x:v>Within SLA</x:v>
      </x:c>
      <x:c r="F10" s="13" t="n">
        <x:v>9</x:v>
      </x:c>
      <x:c r="G10" s="13" t="n">
        <x:v>648</x:v>
      </x:c>
      <x:c r="H10" s="13" t="n">
        <x:v>106</x:v>
      </x:c>
      <x:c r="I10" s="14" t="n">
        <x:f>IF(G10=0,0,H10/G10)</x:f>
        <x:v>0.16358024691358025</x:v>
      </x:c>
      <x:c r="J10" s="16" t="str">
        <x:v>Normal operations</x:v>
      </x:c>
    </x:row>
    <x:row r="11">
      <x:c r="A11" s="12" t="n">
        <x:v>46275</x:v>
      </x:c>
      <x:c r="B11" s="13" t="n">
        <x:v>126</x:v>
      </x:c>
      <x:c r="C11" s="13" t="n">
        <x:v>45</x:v>
      </x:c>
      <x:c r="D11" s="13" t="n">
        <x:v>48</x:v>
      </x:c>
      <x:c r="E11" s="13" t="str">
        <x:f>IF(C11&gt;D11,"Above SLA","Within SLA")</x:f>
        <x:v>Within SLA</x:v>
      </x:c>
      <x:c r="F11" s="13" t="n">
        <x:v>11</x:v>
      </x:c>
      <x:c r="G11" s="13" t="n">
        <x:v>680</x:v>
      </x:c>
      <x:c r="H11" s="13" t="n">
        <x:v>109</x:v>
      </x:c>
      <x:c r="I11" s="14" t="n">
        <x:f>IF(G11=0,0,H11/G11)</x:f>
        <x:v>0.16029411764705884</x:v>
      </x:c>
      <x:c r="J11" s="16" t="str">
        <x:v>Normal operations</x:v>
      </x:c>
    </x:row>
    <x:row r="12">
      <x:c r="A12" s="12" t="n">
        <x:v>46276</x:v>
      </x:c>
      <x:c r="B12" s="13" t="n">
        <x:v>132</x:v>
      </x:c>
      <x:c r="C12" s="13" t="n">
        <x:v>46</x:v>
      </x:c>
      <x:c r="D12" s="13" t="n">
        <x:v>48</x:v>
      </x:c>
      <x:c r="E12" s="13" t="str">
        <x:f>IF(C12&gt;D12,"Above SLA","Within SLA")</x:f>
        <x:v>Within SLA</x:v>
      </x:c>
      <x:c r="F12" s="13" t="n">
        <x:v>12</x:v>
      </x:c>
      <x:c r="G12" s="13" t="n">
        <x:v>695</x:v>
      </x:c>
      <x:c r="H12" s="13" t="n">
        <x:v>110</x:v>
      </x:c>
      <x:c r="I12" s="14" t="n">
        <x:f>IF(G12=0,0,H12/G12)</x:f>
        <x:v>0.15827338129496402</x:v>
      </x:c>
      <x:c r="J12" s="16" t="str">
        <x:v>Normal operations</x:v>
      </x:c>
    </x:row>
    <x:row r="13">
      <x:c r="A13" s="12" t="n">
        <x:v>46277</x:v>
      </x:c>
      <x:c r="B13" s="13" t="n">
        <x:v>127</x:v>
      </x:c>
      <x:c r="C13" s="13" t="n">
        <x:v>45</x:v>
      </x:c>
      <x:c r="D13" s="13" t="n">
        <x:v>48</x:v>
      </x:c>
      <x:c r="E13" s="13" t="str">
        <x:f>IF(C13&gt;D13,"Above SLA","Within SLA")</x:f>
        <x:v>Within SLA</x:v>
      </x:c>
      <x:c r="F13" s="13" t="n">
        <x:v>11</x:v>
      </x:c>
      <x:c r="G13" s="13" t="n">
        <x:v>688</x:v>
      </x:c>
      <x:c r="H13" s="13" t="n">
        <x:v>109</x:v>
      </x:c>
      <x:c r="I13" s="14" t="n">
        <x:f>IF(G13=0,0,H13/G13)</x:f>
        <x:v>0.15843023255813954</x:v>
      </x:c>
      <x:c r="J13" s="16" t="str">
        <x:v>Normal operations</x:v>
      </x:c>
    </x:row>
    <x:row r="14">
      <x:c r="A14" s="12" t="n">
        <x:v>46278</x:v>
      </x:c>
      <x:c r="B14" s="13" t="n">
        <x:v>134</x:v>
      </x:c>
      <x:c r="C14" s="13" t="n">
        <x:v>47</x:v>
      </x:c>
      <x:c r="D14" s="13" t="n">
        <x:v>48</x:v>
      </x:c>
      <x:c r="E14" s="13" t="str">
        <x:f>IF(C14&gt;D14,"Above SLA","Within SLA")</x:f>
        <x:v>Within SLA</x:v>
      </x:c>
      <x:c r="F14" s="13" t="n">
        <x:v>12</x:v>
      </x:c>
      <x:c r="G14" s="13" t="n">
        <x:v>700</x:v>
      </x:c>
      <x:c r="H14" s="13" t="n">
        <x:v>110</x:v>
      </x:c>
      <x:c r="I14" s="14" t="n">
        <x:f>IF(G14=0,0,H14/G14)</x:f>
        <x:v>0.15714285714285714</x:v>
      </x:c>
      <x:c r="J14" s="16" t="str">
        <x:v>Routing-rule deployment recorded</x:v>
      </x:c>
    </x:row>
    <x:row r="15">
      <x:c r="A15" s="12" t="n">
        <x:v>46279</x:v>
      </x:c>
      <x:c r="B15" s="13" t="n">
        <x:v>142</x:v>
      </x:c>
      <x:c r="C15" s="13" t="n">
        <x:v>50</x:v>
      </x:c>
      <x:c r="D15" s="13" t="n">
        <x:v>48</x:v>
      </x:c>
      <x:c r="E15" s="13" t="str">
        <x:f>IF(C15&gt;D15,"Above SLA","Within SLA")</x:f>
        <x:v>Above SLA</x:v>
      </x:c>
      <x:c r="F15" s="13" t="n">
        <x:v>13</x:v>
      </x:c>
      <x:c r="G15" s="13" t="n">
        <x:v>715</x:v>
      </x:c>
      <x:c r="H15" s="13" t="n">
        <x:v>111</x:v>
      </x:c>
      <x:c r="I15" s="14" t="n">
        <x:f>IF(G15=0,0,H15/G15)</x:f>
        <x:v>0.15524475524475526</x:v>
      </x:c>
      <x:c r="J15" s="16" t="str">
        <x:v>Post-deployment monitoring</x:v>
      </x:c>
    </x:row>
    <x:row r="16">
      <x:c r="A16" s="12" t="n">
        <x:v>46280</x:v>
      </x:c>
      <x:c r="B16" s="13" t="n">
        <x:v>148</x:v>
      </x:c>
      <x:c r="C16" s="13" t="n">
        <x:v>55</x:v>
      </x:c>
      <x:c r="D16" s="13" t="n">
        <x:v>48</x:v>
      </x:c>
      <x:c r="E16" s="13" t="str">
        <x:f>IF(C16&gt;D16,"Above SLA","Within SLA")</x:f>
        <x:v>Above SLA</x:v>
      </x:c>
      <x:c r="F16" s="13" t="n">
        <x:v>14</x:v>
      </x:c>
      <x:c r="G16" s="13" t="n">
        <x:v>725</x:v>
      </x:c>
      <x:c r="H16" s="13" t="n">
        <x:v>111</x:v>
      </x:c>
      <x:c r="I16" s="14" t="n">
        <x:f>IF(G16=0,0,H16/G16)</x:f>
        <x:v>0.15310344827586206</x:v>
      </x:c>
      <x:c r="J16" s="16" t="str">
        <x:v>Post-deployment monitoring</x:v>
      </x:c>
    </x:row>
    <x:row r="17">
      <x:c r="A17" s="12" t="n">
        <x:v>46281</x:v>
      </x:c>
      <x:c r="B17" s="13" t="n">
        <x:v>151</x:v>
      </x:c>
      <x:c r="C17" s="13" t="n">
        <x:v>58</x:v>
      </x:c>
      <x:c r="D17" s="13" t="n">
        <x:v>48</x:v>
      </x:c>
      <x:c r="E17" s="13" t="str">
        <x:f>IF(C17&gt;D17,"Above SLA","Within SLA")</x:f>
        <x:v>Above SLA</x:v>
      </x:c>
      <x:c r="F17" s="13" t="n">
        <x:v>15</x:v>
      </x:c>
      <x:c r="G17" s="13" t="n">
        <x:v>735</x:v>
      </x:c>
      <x:c r="H17" s="13" t="n">
        <x:v>111</x:v>
      </x:c>
      <x:c r="I17" s="14" t="n">
        <x:f>IF(G17=0,0,H17/G17)</x:f>
        <x:v>0.1510204081632653</x:v>
      </x:c>
      <x:c r="J17" s="16" t="str">
        <x:v>Post-deployment monitoring</x:v>
      </x:c>
    </x:row>
    <x:row r="18">
      <x:c r="A18" s="12" t="n">
        <x:v>46282</x:v>
      </x:c>
      <x:c r="B18" s="13" t="n">
        <x:v>146</x:v>
      </x:c>
      <x:c r="C18" s="13" t="n">
        <x:v>52</x:v>
      </x:c>
      <x:c r="D18" s="13" t="n">
        <x:v>48</x:v>
      </x:c>
      <x:c r="E18" s="13" t="str">
        <x:f>IF(C18&gt;D18,"Above SLA","Within SLA")</x:f>
        <x:v>Above SLA</x:v>
      </x:c>
      <x:c r="F18" s="13" t="n">
        <x:v>16</x:v>
      </x:c>
      <x:c r="G18" s="13" t="n">
        <x:v>720</x:v>
      </x:c>
      <x:c r="H18" s="13" t="n">
        <x:v>108</x:v>
      </x:c>
      <x:c r="I18" s="14" t="n">
        <x:f>IF(G18=0,0,H18/G18)</x:f>
        <x:v>0.15</x:v>
      </x:c>
      <x:c r="J18" s="16" t="str">
        <x:v>Post-deployment monitoring</x:v>
      </x:c>
    </x:row>
    <x:row r="19">
      <x:c r="A19" s="12" t="n">
        <x:v>46283</x:v>
      </x:c>
      <x:c r="B19" s="13" t="n">
        <x:v>140</x:v>
      </x:c>
      <x:c r="C19" s="13" t="n">
        <x:v>47</x:v>
      </x:c>
      <x:c r="D19" s="13" t="n">
        <x:v>48</x:v>
      </x:c>
      <x:c r="E19" s="13" t="str">
        <x:f>IF(C19&gt;D19,"Above SLA","Within SLA")</x:f>
        <x:v>Within SLA</x:v>
      </x:c>
      <x:c r="F19" s="13" t="n">
        <x:v>17</x:v>
      </x:c>
      <x:c r="G19" s="13" t="n">
        <x:v>710</x:v>
      </x:c>
      <x:c r="H19" s="13" t="n">
        <x:v>105</x:v>
      </x:c>
      <x:c r="I19" s="14" t="n">
        <x:f>IF(G19=0,0,H19/G19)</x:f>
        <x:v>0.14788732394366197</x:v>
      </x:c>
      <x:c r="J19" s="16" t="str">
        <x:v>Larger queue handoff recorded</x:v>
      </x:c>
    </x:row>
    <x:row r="20">
      <x:c r="A20" s="12" t="n">
        <x:v>46284</x:v>
      </x:c>
      <x:c r="B20" s="13" t="n">
        <x:v>138</x:v>
      </x:c>
      <x:c r="C20" s="13" t="n">
        <x:v>46</x:v>
      </x:c>
      <x:c r="D20" s="13" t="n">
        <x:v>48</x:v>
      </x:c>
      <x:c r="E20" s="13" t="str">
        <x:f>IF(C20&gt;D20,"Above SLA","Within SLA")</x:f>
        <x:v>Within SLA</x:v>
      </x:c>
      <x:c r="F20" s="13" t="n">
        <x:v>18</x:v>
      </x:c>
      <x:c r="G20" s="13" t="n">
        <x:v>705</x:v>
      </x:c>
      <x:c r="H20" s="13" t="n">
        <x:v>102</x:v>
      </x:c>
      <x:c r="I20" s="14" t="n">
        <x:f>IF(G20=0,0,H20/G20)</x:f>
        <x:v>0.14468085106382977</x:v>
      </x:c>
      <x:c r="J20" s="16" t="str">
        <x:v>Complaint review requested</x:v>
      </x:c>
    </x:row>
    <x:row r="21">
      <x:c r="A21" s="12" t="n">
        <x:v>46285</x:v>
      </x:c>
      <x:c r="B21" s="13" t="n">
        <x:v>135</x:v>
      </x:c>
      <x:c r="C21" s="13" t="n">
        <x:v>45</x:v>
      </x:c>
      <x:c r="D21" s="13" t="n">
        <x:v>48</x:v>
      </x:c>
      <x:c r="E21" s="13" t="str">
        <x:f>IF(C21&gt;D21,"Above SLA","Within SLA")</x:f>
        <x:v>Within SLA</x:v>
      </x:c>
      <x:c r="F21" s="13" t="n">
        <x:v>22</x:v>
      </x:c>
      <x:c r="G21" s="13" t="n">
        <x:v>698</x:v>
      </x:c>
      <x:c r="H21" s="13" t="n">
        <x:v>99</x:v>
      </x:c>
      <x:c r="I21" s="14" t="n">
        <x:f>IF(G21=0,0,H21/G21)</x:f>
        <x:v>0.14183381088825214</x:v>
      </x:c>
      <x:c r="J21" s="16" t="str">
        <x:v>Complaint review requested</x:v>
      </x:c>
    </x:row>
    <x:row r="22">
      <x:c r="A22" s="12" t="n">
        <x:v>46286</x:v>
      </x:c>
      <x:c r="B22" s="13" t="n">
        <x:v>133</x:v>
      </x:c>
      <x:c r="C22" s="13" t="n">
        <x:v>44</x:v>
      </x:c>
      <x:c r="D22" s="13" t="n">
        <x:v>48</x:v>
      </x:c>
      <x:c r="E22" s="13" t="str">
        <x:f>IF(C22&gt;D22,"Above SLA","Within SLA")</x:f>
        <x:v>Within SLA</x:v>
      </x:c>
      <x:c r="F22" s="13" t="n">
        <x:v>24</x:v>
      </x:c>
      <x:c r="G22" s="13" t="n">
        <x:v>690</x:v>
      </x:c>
      <x:c r="H22" s="13" t="n">
        <x:v>96</x:v>
      </x:c>
      <x:c r="I22" s="14" t="n">
        <x:f>IF(G22=0,0,H22/G22)</x:f>
        <x:v>0.1391304347826087</x:v>
      </x:c>
      <x:c r="J22" s="16" t="str">
        <x:v>Complaint review requested</x:v>
      </x:c>
    </x:row>
    <x:row r="23">
      <x:c r="A23" s="12" t="n">
        <x:v>46287</x:v>
      </x:c>
      <x:c r="B23" s="13" t="n">
        <x:v>130</x:v>
      </x:c>
      <x:c r="C23" s="13" t="n">
        <x:v>43</x:v>
      </x:c>
      <x:c r="D23" s="13" t="n">
        <x:v>48</x:v>
      </x:c>
      <x:c r="E23" s="13" t="str">
        <x:f>IF(C23&gt;D23,"Above SLA","Within SLA")</x:f>
        <x:v>Within SLA</x:v>
      </x:c>
      <x:c r="F23" s="13" t="n">
        <x:v>16</x:v>
      </x:c>
      <x:c r="G23" s="13" t="n">
        <x:v>540</x:v>
      </x:c>
      <x:c r="H23" s="13" t="n">
        <x:v>61</x:v>
      </x:c>
      <x:c r="I23" s="14" t="n">
        <x:f>IF(G23=0,0,H23/G23)</x:f>
        <x:v>0.11296296296296296</x:v>
      </x:c>
      <x:c r="J23" s="16" t="str">
        <x:v>Digital campaign refresh began</x:v>
      </x:c>
    </x:row>
    <x:row r="24">
      <x:c r="A24" s="12" t="n">
        <x:v>46288</x:v>
      </x:c>
      <x:c r="B24" s="13" t="n">
        <x:v>129</x:v>
      </x:c>
      <x:c r="C24" s="13" t="n">
        <x:v>42</x:v>
      </x:c>
      <x:c r="D24" s="13" t="n">
        <x:v>48</x:v>
      </x:c>
      <x:c r="E24" s="13" t="str">
        <x:f>IF(C24&gt;D24,"Above SLA","Within SLA")</x:f>
        <x:v>Within SLA</x:v>
      </x:c>
      <x:c r="F24" s="13" t="n">
        <x:v>14</x:v>
      </x:c>
      <x:c r="G24" s="13" t="n">
        <x:v>550</x:v>
      </x:c>
      <x:c r="H24" s="13" t="n">
        <x:v>58</x:v>
      </x:c>
      <x:c r="I24" s="14" t="n">
        <x:f>IF(G24=0,0,H24/G24)</x:f>
        <x:v>0.10545454545454545</x:v>
      </x:c>
      <x:c r="J24" s="16" t="str">
        <x:v>Campaign monitoring</x:v>
      </x:c>
    </x:row>
    <x:row r="25">
      <x:c r="A25" s="12" t="n">
        <x:v>46289</x:v>
      </x:c>
      <x:c r="B25" s="13" t="n">
        <x:v>126</x:v>
      </x:c>
      <x:c r="C25" s="13" t="n">
        <x:v>41</x:v>
      </x:c>
      <x:c r="D25" s="13" t="n">
        <x:v>48</x:v>
      </x:c>
      <x:c r="E25" s="13" t="str">
        <x:f>IF(C25&gt;D25,"Above SLA","Within SLA")</x:f>
        <x:v>Within SLA</x:v>
      </x:c>
      <x:c r="F25" s="13" t="n">
        <x:v>13</x:v>
      </x:c>
      <x:c r="G25" s="13" t="n">
        <x:v>560</x:v>
      </x:c>
      <x:c r="H25" s="13" t="n">
        <x:v>55</x:v>
      </x:c>
      <x:c r="I25" s="14" t="n">
        <x:f>IF(G25=0,0,H25/G25)</x:f>
        <x:v>0.09821428571428571</x:v>
      </x:c>
      <x:c r="J25" s="16" t="str">
        <x:v>Campaign monitoring</x:v>
      </x:c>
    </x:row>
    <x:row r="26">
      <x:c r="A26" s="12" t="n">
        <x:v>46290</x:v>
      </x:c>
      <x:c r="B26" s="13" t="n">
        <x:v>124</x:v>
      </x:c>
      <x:c r="C26" s="13" t="n">
        <x:v>40</x:v>
      </x:c>
      <x:c r="D26" s="13" t="n">
        <x:v>48</x:v>
      </x:c>
      <x:c r="E26" s="13" t="str">
        <x:f>IF(C26&gt;D26,"Above SLA","Within SLA")</x:f>
        <x:v>Within SLA</x:v>
      </x:c>
      <x:c r="F26" s="13" t="n">
        <x:v>12</x:v>
      </x:c>
      <x:c r="G26" s="13" t="n">
        <x:v>570</x:v>
      </x:c>
      <x:c r="H26" s="13" t="n">
        <x:v>54</x:v>
      </x:c>
      <x:c r="I26" s="14" t="n">
        <x:f>IF(G26=0,0,H26/G26)</x:f>
        <x:v>0.09473684210526316</x:v>
      </x:c>
      <x:c r="J26" s="16" t="str">
        <x:v>Campaign monitoring</x:v>
      </x:c>
    </x:row>
    <x:row r="27">
      <x:c r="A27" s="12" t="n">
        <x:v>46291</x:v>
      </x:c>
      <x:c r="B27" s="13" t="n">
        <x:v>120</x:v>
      </x:c>
      <x:c r="C27" s="13" t="n">
        <x:v>40</x:v>
      </x:c>
      <x:c r="D27" s="13" t="n">
        <x:v>48</x:v>
      </x:c>
      <x:c r="E27" s="13" t="str">
        <x:f>IF(C27&gt;D27,"Above SLA","Within SLA")</x:f>
        <x:v>Within SLA</x:v>
      </x:c>
      <x:c r="F27" s="13" t="n">
        <x:v>11</x:v>
      </x:c>
      <x:c r="G27" s="13" t="n">
        <x:v>610</x:v>
      </x:c>
      <x:c r="H27" s="13" t="n">
        <x:v>80</x:v>
      </x:c>
      <x:c r="I27" s="14" t="n">
        <x:f>IF(G27=0,0,H27/G27)</x:f>
        <x:v>0.13114754098360656</x:v>
      </x:c>
      <x:c r="J27" s="16" t="str">
        <x:v>Normal operations</x:v>
      </x:c>
    </x:row>
    <x:row r="28">
      <x:c r="A28" s="12" t="n">
        <x:v>46292</x:v>
      </x:c>
      <x:c r="B28" s="13" t="n">
        <x:v>118</x:v>
      </x:c>
      <x:c r="C28" s="13" t="n">
        <x:v>39</x:v>
      </x:c>
      <x:c r="D28" s="13" t="n">
        <x:v>48</x:v>
      </x:c>
      <x:c r="E28" s="13" t="str">
        <x:f>IF(C28&gt;D28,"Above SLA","Within SLA")</x:f>
        <x:v>Within SLA</x:v>
      </x:c>
      <x:c r="F28" s="13" t="n">
        <x:v>10</x:v>
      </x:c>
      <x:c r="G28" s="13" t="n">
        <x:v>625</x:v>
      </x:c>
      <x:c r="H28" s="13" t="n">
        <x:v>91</x:v>
      </x:c>
      <x:c r="I28" s="14" t="n">
        <x:f>IF(G28=0,0,H28/G28)</x:f>
        <x:v>0.1456</x:v>
      </x:c>
      <x:c r="J28" s="16" t="str">
        <x:v>Normal operations</x:v>
      </x:c>
    </x:row>
    <x:row r="29">
      <x:c r="A29" s="12" t="n">
        <x:v>46293</x:v>
      </x:c>
      <x:c r="B29" s="13" t="n">
        <x:v>122</x:v>
      </x:c>
      <x:c r="C29" s="13" t="n">
        <x:v>40</x:v>
      </x:c>
      <x:c r="D29" s="13" t="n">
        <x:v>48</x:v>
      </x:c>
      <x:c r="E29" s="13" t="str">
        <x:f>IF(C29&gt;D29,"Above SLA","Within SLA")</x:f>
        <x:v>Within SLA</x:v>
      </x:c>
      <x:c r="F29" s="13" t="n">
        <x:v>10</x:v>
      </x:c>
      <x:c r="G29" s="13" t="n">
        <x:v>640</x:v>
      </x:c>
      <x:c r="H29" s="13" t="n">
        <x:v>99</x:v>
      </x:c>
      <x:c r="I29" s="14" t="n">
        <x:f>IF(G29=0,0,H29/G29)</x:f>
        <x:v>0.1546875</x:v>
      </x:c>
      <x:c r="J29" s="16" t="str">
        <x:v>Leadership review scheduled</x:v>
      </x:c>
    </x:row>
  </x:sheetData>
  <x:conditionalFormatting sqref="E2:E29">
    <x:cfRule type="containsText" dxfId="0" priority="1" operator="containsText" text="Above SLA"/>
  </x:conditionalFormatting>
  <x:conditionalFormatting sqref="I2:I29">
    <x:cfRule type="colorScale" priority="3">
      <x:colorScale>
        <x:cfvo type="min"/>
        <x:cfvo type="percentile" val="50"/>
        <x:cfvo type="max"/>
        <x:color rgb="FFF8D7DA"/>
        <x:color rgb="FFFFF3CD"/>
        <x:color rgb="FFE7F4EA"/>
      </x:colorScale>
    </x:cfRule>
  </x:conditionalFormatting>
  <x:conditionalFormatting sqref="F2:F29">
    <x:cfRule type="cellIs" dxfId="2" priority="4" operator="between">
      <x:formula>0</x:formula>
      <x:formula>10</x:formula>
    </x:cfRule>
    <x:cfRule type="cellIs" dxfId="3" priority="5" operator="between">
      <x:formula>11</x:formula>
      <x:formula>17</x:formula>
    </x:cfRule>
    <x:cfRule type="cellIs" dxfId="4" priority="6" operator="greaterThanOrEqual">
      <x:formula>18</x:formula>
    </x:cfRule>
  </x:conditionalFormatting>
  <x:pageMargins left="0.7" right="0.7" top="0.75" bottom="0.75" header="0.3" footer="0.3"/>
  <x:tableParts count="1">
    <x:tablePart xmlns:r="http://schemas.openxmlformats.org/officeDocument/2006/relationships" r:id="R4e15ec35565f49c0"/>
  </x:tableParts>
</x:worksheet>
</file>

<file path=xl/worksheets/sheet2.xml><?xml version="1.0" encoding="utf-8"?>
<x:worksheet xmlns:x="http://schemas.openxmlformats.org/spreadsheetml/2006/main">
  <x:sheetPr>
    <x:tabColor rgb="FF13294B"/>
  </x:sheetPr>
  <x:sheetViews>
    <x:sheetView showGridLines="0" workbookViewId="0">
      <x:pane ySplit="1" topLeftCell="A2" activePane="bottomLeft" state="frozen"/>
    </x:sheetView>
  </x:sheetViews>
  <x:sheetFormatPr defaultRowHeight="15"/>
  <x:cols>
    <x:col min="1" max="1" width="25" hidden="0" customWidth="1"/>
    <x:col min="2" max="2" width="48" hidden="0" customWidth="1"/>
    <x:col min="3" max="3" width="44" hidden="0" customWidth="1"/>
  </x:cols>
  <x:sheetData>
    <x:row r="1" ht="15" hidden="0" customHeight="1">
      <x:c r="A1" s="19" t="str">
        <x:v>Metric</x:v>
      </x:c>
      <x:c r="B1" s="19" t="str">
        <x:v>Definition</x:v>
      </x:c>
      <x:c r="C1" s="19" t="str">
        <x:v>Verification note</x:v>
      </x:c>
    </x:row>
    <x:row r="2" ht="15" hidden="0" customHeight="1">
      <x:c r="A2" s="20" t="str">
        <x:v>Claim Volume</x:v>
      </x:c>
      <x:c r="B2" s="20" t="str">
        <x:v>Number of claims entering the daily service queue.</x:v>
      </x:c>
      <x:c r="C2" s="20" t="str">
        <x:v>Synthetic input value; no formula.</x:v>
      </x:c>
    </x:row>
    <x:row r="3" ht="15" hidden="0" customHeight="1">
      <x:c r="A3" s="20" t="str">
        <x:v>Claim TAT Hours</x:v>
      </x:c>
      <x:c r="B3" s="20" t="str">
        <x:v>Average claim turnaround time in hours.</x:v>
      </x:c>
      <x:c r="C3" s="20" t="str">
        <x:v>Compare with Claim SLA Hours for the same row.</x:v>
      </x:c>
    </x:row>
    <x:row r="4" ht="15" hidden="0" customHeight="1">
      <x:c r="A4" s="20" t="str">
        <x:v>Claim SLA Hours</x:v>
      </x:c>
      <x:c r="B4" s="20" t="str">
        <x:v>Internal service-level threshold used for this exercise.</x:v>
      </x:c>
      <x:c r="C4" s="20" t="str">
        <x:v>Fixed at 48 hours throughout the dataset.</x:v>
      </x:c>
    </x:row>
    <x:row r="5" ht="26.399999618530273" hidden="0" customHeight="1">
      <x:c r="A5" s="20" t="str">
        <x:v>Claim SLA Status</x:v>
      </x:c>
      <x:c r="B5" s="20" t="str">
        <x:v>Whether Claim TAT Hours is above the daily threshold.</x:v>
      </x:c>
      <x:c r="C5" s="20" t="str">
        <x:v>Formula: IF Claim TAT Hours &gt; Claim SLA Hours, then Above SLA.</x:v>
      </x:c>
    </x:row>
    <x:row r="6" ht="26.399999618530273" hidden="0" customHeight="1">
      <x:c r="A6" s="20" t="str">
        <x:v>Complaint Count</x:v>
      </x:c>
      <x:c r="B6" s="20" t="str">
        <x:v>Daily service complaints in the synthetic dataset.</x:v>
      </x:c>
      <x:c r="C6" s="20" t="str">
        <x:v>Compare dates and sustained patterns; do not infer a cause.</x:v>
      </x:c>
    </x:row>
    <x:row r="7" ht="15" hidden="0" customHeight="1">
      <x:c r="A7" s="20" t="str">
        <x:v>Digital Conversion Rate</x:v>
      </x:c>
      <x:c r="B7" s="20" t="str">
        <x:v>Digital Policies divided by Digital Leads.</x:v>
      </x:c>
      <x:c r="C7" s="20" t="str">
        <x:v>Formula result displayed as a percentage.</x:v>
      </x:c>
    </x:row>
    <x:row r="8" ht="15" hidden="0" customHeight="1">
      <x:c r="A8" s="20" t="str">
        <x:v>Context Note</x:v>
      </x:c>
      <x:c r="B8" s="20" t="str">
        <x:v>A recorded event or observation for the same date.</x:v>
      </x:c>
      <x:c r="C8" s="20" t="str">
        <x:v>Timing is not proof of causality.</x:v>
      </x:c>
    </x:row>
    <x:row r="9" ht="15" hidden="0" customHeight="1">
      <x:c r="A9" s="21"/>
      <x:c r="B9" s="21"/>
      <x:c r="C9" s="21"/>
    </x:row>
    <x:row r="10" ht="26.399999618530273" hidden="0" customHeight="1">
      <x:c r="A10" s="22" t="str">
        <x:v>Data boundary</x:v>
      </x:c>
      <x:c r="B10" s="22" t="str">
        <x:v>All content in this workbook is fictional and created for training.</x:v>
      </x:c>
      <x:c r="C10" s="22" t="str">
        <x:v>Do not combine it with production or personal data.</x:v>
      </x:c>
    </x:row>
  </x:sheetData>
  <x:pageMargins left="0.7" right="0.7" top="0.75" bottom="0.75" header="0.3" footer="0.3"/>
</x:worksheet>
</file>

<file path=xl/worksheets/sheet3.xml><?xml version="1.0" encoding="utf-8"?>
<x:worksheet xmlns:x="http://schemas.openxmlformats.org/spreadsheetml/2006/main">
  <x:sheetPr>
    <x:tabColor rgb="FF1474BB"/>
  </x:sheetPr>
  <x:sheetViews>
    <x:sheetView showGridLines="0" workbookViewId="0">
      <x:pane ySplit="7" topLeftCell="A8" activePane="bottomLeft" state="frozen"/>
    </x:sheetView>
  </x:sheetViews>
  <x:sheetFormatPr defaultRowHeight="15"/>
  <x:cols>
    <x:col min="1" max="1" width="24" hidden="0" customWidth="1"/>
    <x:col min="2" max="2" width="22" hidden="0" customWidth="1"/>
    <x:col min="3" max="3" width="20" hidden="0" customWidth="1"/>
    <x:col min="4" max="4" width="17" hidden="0" customWidth="1"/>
    <x:col min="5" max="5" width="18" hidden="0" customWidth="1"/>
    <x:col min="6" max="6" width="24" hidden="0" customWidth="1"/>
    <x:col min="7" max="7" width="40" hidden="0" customWidth="1"/>
    <x:col min="8" max="8" width="20" hidden="0" customWidth="1"/>
  </x:cols>
  <x:sheetData>
    <x:row r="1" ht="38" customHeight="1">
      <x:c r="A1" s="27" t="str">
        <x:v>ASTERIA | Reviewed service evidence</x:v>
      </x:c>
      <x:c r="B1" s="27" t="str">
        <x:v>ASTERIA | Reviewed service evidence</x:v>
      </x:c>
      <x:c r="C1" s="27" t="str">
        <x:v>ASTERIA | Reviewed service evidence</x:v>
      </x:c>
      <x:c r="D1" s="27" t="str">
        <x:v>ASTERIA | Reviewed service evidence</x:v>
      </x:c>
      <x:c r="E1" s="27" t="str">
        <x:v>ASTERIA | Reviewed service evidence</x:v>
      </x:c>
      <x:c r="F1" s="27" t="str">
        <x:v>ASTERIA | Reviewed service evidence</x:v>
      </x:c>
      <x:c r="G1" s="27" t="str">
        <x:v>ASTERIA | Reviewed service evidence</x:v>
      </x:c>
      <x:c r="H1" s="27" t="str">
        <x:v>ASTERIA | Reviewed service evidence</x:v>
      </x:c>
    </x:row>
    <x:row r="2" ht="27" customHeight="1">
      <x:c r="A2" s="29" t="str">
        <x:v>Prepared backup • Exercise 2 • 1–28 September 2026</x:v>
      </x:c>
      <x:c r="B2" s="29" t="str">
        <x:v>Prepared backup • Exercise 2 • 1–28 September 2026</x:v>
      </x:c>
      <x:c r="C2" s="29" t="str">
        <x:v>Prepared backup • Exercise 2 • 1–28 September 2026</x:v>
      </x:c>
      <x:c r="D2" s="29" t="str">
        <x:v>Prepared backup • Exercise 2 • 1–28 September 2026</x:v>
      </x:c>
      <x:c r="E2" s="29" t="str">
        <x:v>Prepared backup • Exercise 2 • 1–28 September 2026</x:v>
      </x:c>
      <x:c r="F2" s="29" t="str">
        <x:v>Prepared backup • Exercise 2 • 1–28 September 2026</x:v>
      </x:c>
      <x:c r="G2" s="29" t="str">
        <x:v>Prepared backup • Exercise 2 • 1–28 September 2026</x:v>
      </x:c>
      <x:c r="H2" s="29" t="str">
        <x:v>Prepared backup • Exercise 2 • 1–28 September 2026</x:v>
      </x:c>
    </x:row>
    <x:row r="3" ht="36" customHeight="1">
      <x:c r="A3" s="30" t="str">
        <x:v>Use only if your own reviewed workbook is unavailable. Open Reviewed Insights first, inspect the calculations below, then attach this file to PowerPoint. Retain its prepared origin.</x:v>
      </x:c>
      <x:c r="B3" s="30" t="str">
        <x:v>Use only if your own reviewed workbook is unavailable. Open Reviewed Insights first, inspect the calculations below, then attach this file to PowerPoint. Retain its prepared origin.</x:v>
      </x:c>
      <x:c r="C3" s="30" t="str">
        <x:v>Use only if your own reviewed workbook is unavailable. Open Reviewed Insights first, inspect the calculations below, then attach this file to PowerPoint. Retain its prepared origin.</x:v>
      </x:c>
      <x:c r="D3" s="30" t="str">
        <x:v>Use only if your own reviewed workbook is unavailable. Open Reviewed Insights first, inspect the calculations below, then attach this file to PowerPoint. Retain its prepared origin.</x:v>
      </x:c>
      <x:c r="E3" s="30" t="str">
        <x:v>Use only if your own reviewed workbook is unavailable. Open Reviewed Insights first, inspect the calculations below, then attach this file to PowerPoint. Retain its prepared origin.</x:v>
      </x:c>
      <x:c r="F3" s="30" t="str">
        <x:v>Use only if your own reviewed workbook is unavailable. Open Reviewed Insights first, inspect the calculations below, then attach this file to PowerPoint. Retain its prepared origin.</x:v>
      </x:c>
      <x:c r="G3" s="30" t="str">
        <x:v>Use only if your own reviewed workbook is unavailable. Open Reviewed Insights first, inspect the calculations below, then attach this file to PowerPoint. Retain its prepared origin.</x:v>
      </x:c>
      <x:c r="H3" s="30" t="str">
        <x:v>Use only if your own reviewed workbook is unavailable. Open Reviewed Insights first, inspect the calculations below, then attach this file to PowerPoint. Retain its prepared origin.</x:v>
      </x:c>
    </x:row>
    <x:row r="4" ht="32" customHeight="1">
      <x:c r="A4" s="30" t="str">
        <x:v>Source: Asteria_Service_KPI_28days.xlsx — KPI_Data and Definitions. Fictional training information; no AXA operational or participant data.</x:v>
      </x:c>
      <x:c r="B4" s="30" t="str">
        <x:v>Source: Asteria_Service_KPI_28days.xlsx — KPI_Data and Definitions. Fictional training information; no AXA operational or participant data.</x:v>
      </x:c>
      <x:c r="C4" s="30" t="str">
        <x:v>Source: Asteria_Service_KPI_28days.xlsx — KPI_Data and Definitions. Fictional training information; no AXA operational or participant data.</x:v>
      </x:c>
      <x:c r="D4" s="30" t="str">
        <x:v>Source: Asteria_Service_KPI_28days.xlsx — KPI_Data and Definitions. Fictional training information; no AXA operational or participant data.</x:v>
      </x:c>
      <x:c r="E4" s="30" t="str">
        <x:v>Source: Asteria_Service_KPI_28days.xlsx — KPI_Data and Definitions. Fictional training information; no AXA operational or participant data.</x:v>
      </x:c>
      <x:c r="F4" s="30" t="str">
        <x:v>Source: Asteria_Service_KPI_28days.xlsx — KPI_Data and Definitions. Fictional training information; no AXA operational or participant data.</x:v>
      </x:c>
      <x:c r="G4" s="30" t="str">
        <x:v>Source: Asteria_Service_KPI_28days.xlsx — KPI_Data and Definitions. Fictional training information; no AXA operational or participant data.</x:v>
      </x:c>
      <x:c r="H4" s="30" t="str">
        <x:v>Source: Asteria_Service_KPI_28days.xlsx — KPI_Data and Definitions. Fictional training information; no AXA operational or participant data.</x:v>
      </x:c>
    </x:row>
    <x:row r="5" ht="34" customHeight="1">
      <x:c r="A5" s="30" t="str">
        <x:v>Verified means checked against the supplied workbook. It does not prove a cause, a financial effect, a commitment, or live Copilot behaviour. Missing information: To confirm.</x:v>
      </x:c>
      <x:c r="B5" s="30" t="str">
        <x:v>Verified means checked against the supplied workbook. It does not prove a cause, a financial effect, a commitment, or live Copilot behaviour. Missing information: To confirm.</x:v>
      </x:c>
      <x:c r="C5" s="30" t="str">
        <x:v>Verified means checked against the supplied workbook. It does not prove a cause, a financial effect, a commitment, or live Copilot behaviour. Missing information: To confirm.</x:v>
      </x:c>
      <x:c r="D5" s="30" t="str">
        <x:v>Verified means checked against the supplied workbook. It does not prove a cause, a financial effect, a commitment, or live Copilot behaviour. Missing information: To confirm.</x:v>
      </x:c>
      <x:c r="E5" s="30" t="str">
        <x:v>Verified means checked against the supplied workbook. It does not prove a cause, a financial effect, a commitment, or live Copilot behaviour. Missing information: To confirm.</x:v>
      </x:c>
      <x:c r="F5" s="30" t="str">
        <x:v>Verified means checked against the supplied workbook. It does not prove a cause, a financial effect, a commitment, or live Copilot behaviour. Missing information: To confirm.</x:v>
      </x:c>
      <x:c r="G5" s="30" t="str">
        <x:v>Verified means checked against the supplied workbook. It does not prove a cause, a financial effect, a commitment, or live Copilot behaviour. Missing information: To confirm.</x:v>
      </x:c>
      <x:c r="H5" s="30" t="str">
        <x:v>Verified means checked against the supplied workbook. It does not prove a cause, a financial effect, a commitment, or live Copilot behaviour. Missing information: To confirm.</x:v>
      </x:c>
    </x:row>
    <x:row r="6">
      <x:c r="A6" s="25"/>
      <x:c r="B6" s="25"/>
      <x:c r="C6" s="25"/>
      <x:c r="D6" s="25"/>
      <x:c r="E6" s="25"/>
      <x:c r="F6" s="25"/>
      <x:c r="G6" s="25"/>
      <x:c r="H6" s="25"/>
    </x:row>
    <x:row r="7" ht="34" customHeight="1">
      <x:c r="A7" s="35" t="str">
        <x:v>Finding</x:v>
      </x:c>
      <x:c r="B7" s="35" t="str">
        <x:v>Dates / period</x:v>
      </x:c>
      <x:c r="C7" s="35" t="str">
        <x:v>Metric</x:v>
      </x:c>
      <x:c r="D7" s="35" t="str">
        <x:v>Observed value</x:v>
      </x:c>
      <x:c r="E7" s="35" t="str">
        <x:v>Comparison value</x:v>
      </x:c>
      <x:c r="F7" s="35" t="str">
        <x:v>Checked comparison</x:v>
      </x:c>
      <x:c r="G7" s="35" t="str">
        <x:v>Source cells / calculation</x:v>
      </x:c>
      <x:c r="H7" s="35" t="str">
        <x:v>Review status</x:v>
      </x:c>
    </x:row>
    <x:row r="8" ht="74" customHeight="1">
      <x:c r="A8" s="36" t="str">
        <x:v>Claims SLA breach</x:v>
      </x:c>
      <x:c r="B8" s="36" t="str">
        <x:v>14–17 Sep 2026</x:v>
      </x:c>
      <x:c r="C8" s="36" t="str">
        <x:v>Peak Claim TAT Hours</x:v>
      </x:c>
      <x:c r="D8" s="37" t="n">
        <x:f>C35</x:f>
        <x:v>58</x:v>
      </x:c>
      <x:c r="E8" s="37" t="n">
        <x:f>KPI_Data!D17</x:f>
        <x:v>48</x:v>
      </x:c>
      <x:c r="F8" s="36" t="str">
        <x:f>C34&amp;" days above SLA"</x:f>
        <x:v>4 days above SLA</x:v>
      </x:c>
      <x:c r="G8" s="36" t="str">
        <x:v>KPI_Data!C15:D18; E2:E29. Peak: C17. Calculations: C34:C36.</x:v>
      </x:c>
      <x:c r="H8" s="40" t="str">
        <x:v>Verified</x:v>
      </x:c>
    </x:row>
    <x:row r="9" ht="74" customHeight="1">
      <x:c r="A9" s="36" t="str">
        <x:v>Complaints increased</x:v>
      </x:c>
      <x:c r="B9" s="36" t="str">
        <x:v>14–21 Sep 2026</x:v>
      </x:c>
      <x:c r="C9" s="36" t="str">
        <x:v>Complaint Count</x:v>
      </x:c>
      <x:c r="D9" s="37" t="n">
        <x:f>C37</x:f>
        <x:v>13</x:v>
      </x:c>
      <x:c r="E9" s="37" t="n">
        <x:f>C38</x:f>
        <x:v>24</x:v>
      </x:c>
      <x:c r="F9" s="36" t="str">
        <x:f>C39&amp;" more complaints"</x:f>
        <x:v>11 more complaints</x:v>
      </x:c>
      <x:c r="G9" s="36" t="str">
        <x:v>KPI_Data!F15:F22. Peak: F22. Calculations: C37:C39.</x:v>
      </x:c>
      <x:c r="H9" s="40" t="str">
        <x:v>Verified</x:v>
      </x:c>
    </x:row>
    <x:row r="10" ht="74" customHeight="1">
      <x:c r="A10" s="36" t="str">
        <x:v>Digital conversion fell</x:v>
      </x:c>
      <x:c r="B10" s="36" t="str">
        <x:v>22–25 Sep 2026</x:v>
      </x:c>
      <x:c r="C10" s="36" t="str">
        <x:v>Digital Conversion Rate</x:v>
      </x:c>
      <x:c r="D10" s="38" t="n">
        <x:f>C40</x:f>
        <x:v>0.11296296296296296</x:v>
      </x:c>
      <x:c r="E10" s="38" t="n">
        <x:f>C41</x:f>
        <x:v>0.09473684210526316</x:v>
      </x:c>
      <x:c r="F10" s="36" t="str">
        <x:f>TEXT(C42,"0.00")&amp;" percentage points"</x:f>
        <x:v>-1.82 percentage points</x:v>
      </x:c>
      <x:c r="G10" s="36" t="str">
        <x:v>KPI_Data!G23:I26. Policies / leads. Calculations: C40:C42.</x:v>
      </x:c>
      <x:c r="H10" s="40" t="str">
        <x:v>Verified</x:v>
      </x:c>
    </x:row>
    <x:row r="11">
      <x:c r="A11" s="25"/>
      <x:c r="B11" s="25"/>
      <x:c r="C11" s="25"/>
      <x:c r="D11" s="25"/>
      <x:c r="E11" s="25"/>
      <x:c r="F11" s="25"/>
      <x:c r="G11" s="25"/>
      <x:c r="H11" s="25"/>
    </x:row>
    <x:row r="12" ht="33" customHeight="1">
      <x:c r="A12" s="30" t="str">
        <x:v>Read patterns, not causes: the routing event, queue handoff and campaign refresh are recorded observations. Their timing does not establish why a KPI changed.</x:v>
      </x:c>
      <x:c r="B12" s="30" t="str">
        <x:v>Read patterns, not causes: the routing event, queue handoff and campaign refresh are recorded observations. Their timing does not establish why a KPI changed.</x:v>
      </x:c>
      <x:c r="C12" s="30" t="str">
        <x:v>Read patterns, not causes: the routing event, queue handoff and campaign refresh are recorded observations. Their timing does not establish why a KPI changed.</x:v>
      </x:c>
      <x:c r="D12" s="30" t="str">
        <x:v>Read patterns, not causes: the routing event, queue handoff and campaign refresh are recorded observations. Their timing does not establish why a KPI changed.</x:v>
      </x:c>
      <x:c r="E12" s="30" t="str">
        <x:v>Read patterns, not causes: the routing event, queue handoff and campaign refresh are recorded observations. Their timing does not establish why a KPI changed.</x:v>
      </x:c>
      <x:c r="F12" s="30" t="str">
        <x:v>Read patterns, not causes: the routing event, queue handoff and campaign refresh are recorded observations. Their timing does not establish why a KPI changed.</x:v>
      </x:c>
      <x:c r="G12" s="30" t="str">
        <x:v>Read patterns, not causes: the routing event, queue handoff and campaign refresh are recorded observations. Their timing does not establish why a KPI changed.</x:v>
      </x:c>
      <x:c r="H12" s="30" t="str">
        <x:v>Read patterns, not causes: the routing event, queue handoff and campaign refresh are recorded observations. Their timing does not establish why a KPI changed.</x:v>
      </x:c>
    </x:row>
    <x:row r="13">
      <x:c r="A13" s="25"/>
      <x:c r="B13" s="25"/>
      <x:c r="C13" s="25"/>
      <x:c r="D13" s="25"/>
      <x:c r="E13" s="25"/>
      <x:c r="F13" s="25"/>
      <x:c r="G13" s="25"/>
      <x:c r="H13" s="25"/>
    </x:row>
    <x:row r="14">
      <x:c r="A14" s="25"/>
      <x:c r="B14" s="25"/>
      <x:c r="C14" s="25"/>
      <x:c r="D14" s="25"/>
      <x:c r="E14" s="25"/>
      <x:c r="F14" s="25"/>
      <x:c r="G14" s="25"/>
      <x:c r="H14" s="25"/>
    </x:row>
    <x:row r="15">
      <x:c r="A15" s="25"/>
      <x:c r="B15" s="25"/>
      <x:c r="C15" s="25"/>
      <x:c r="D15" s="25"/>
      <x:c r="E15" s="25"/>
      <x:c r="F15" s="25"/>
      <x:c r="G15" s="25"/>
      <x:c r="H15" s="25"/>
    </x:row>
    <x:row r="16">
      <x:c r="A16" s="25"/>
      <x:c r="B16" s="25"/>
      <x:c r="C16" s="25"/>
      <x:c r="D16" s="25"/>
      <x:c r="E16" s="25"/>
      <x:c r="F16" s="25"/>
      <x:c r="G16" s="25"/>
      <x:c r="H16" s="25"/>
    </x:row>
    <x:row r="17">
      <x:c r="A17" s="25"/>
      <x:c r="B17" s="25"/>
      <x:c r="C17" s="25"/>
      <x:c r="D17" s="25"/>
      <x:c r="E17" s="25"/>
      <x:c r="F17" s="25"/>
      <x:c r="G17" s="25"/>
      <x:c r="H17" s="25"/>
    </x:row>
    <x:row r="18">
      <x:c r="A18" s="25"/>
      <x:c r="B18" s="25"/>
      <x:c r="C18" s="25"/>
      <x:c r="D18" s="25"/>
      <x:c r="E18" s="25"/>
      <x:c r="F18" s="25"/>
      <x:c r="G18" s="25"/>
      <x:c r="H18" s="25"/>
    </x:row>
    <x:row r="19">
      <x:c r="A19" s="25"/>
      <x:c r="B19" s="25"/>
      <x:c r="C19" s="25"/>
      <x:c r="D19" s="25"/>
      <x:c r="E19" s="25"/>
      <x:c r="F19" s="25"/>
      <x:c r="G19" s="25"/>
      <x:c r="H19" s="25"/>
    </x:row>
    <x:row r="20">
      <x:c r="A20" s="25"/>
      <x:c r="B20" s="25"/>
      <x:c r="C20" s="25"/>
      <x:c r="D20" s="25"/>
      <x:c r="E20" s="25"/>
      <x:c r="F20" s="25"/>
      <x:c r="G20" s="25"/>
      <x:c r="H20" s="25"/>
    </x:row>
    <x:row r="21">
      <x:c r="A21" s="25"/>
      <x:c r="B21" s="25"/>
      <x:c r="C21" s="25"/>
      <x:c r="D21" s="25"/>
      <x:c r="E21" s="25"/>
      <x:c r="F21" s="25"/>
      <x:c r="G21" s="25"/>
      <x:c r="H21" s="25"/>
    </x:row>
    <x:row r="22">
      <x:c r="A22" s="25"/>
      <x:c r="B22" s="25"/>
      <x:c r="C22" s="25"/>
      <x:c r="D22" s="25"/>
      <x:c r="E22" s="25"/>
      <x:c r="F22" s="25"/>
      <x:c r="G22" s="25"/>
      <x:c r="H22" s="25"/>
    </x:row>
    <x:row r="23">
      <x:c r="A23" s="25"/>
      <x:c r="B23" s="25"/>
      <x:c r="C23" s="25"/>
      <x:c r="D23" s="25"/>
      <x:c r="E23" s="25"/>
      <x:c r="F23" s="25"/>
      <x:c r="G23" s="25"/>
      <x:c r="H23" s="25"/>
    </x:row>
    <x:row r="24">
      <x:c r="A24" s="25"/>
      <x:c r="B24" s="25"/>
      <x:c r="C24" s="25"/>
      <x:c r="D24" s="25"/>
      <x:c r="E24" s="25"/>
      <x:c r="F24" s="25"/>
      <x:c r="G24" s="25"/>
      <x:c r="H24" s="25"/>
    </x:row>
    <x:row r="25">
      <x:c r="A25" s="25"/>
      <x:c r="B25" s="25"/>
      <x:c r="C25" s="25"/>
      <x:c r="D25" s="25"/>
      <x:c r="E25" s="25"/>
      <x:c r="F25" s="25"/>
      <x:c r="G25" s="25"/>
      <x:c r="H25" s="25"/>
    </x:row>
    <x:row r="26">
      <x:c r="A26" s="25"/>
      <x:c r="B26" s="25"/>
      <x:c r="C26" s="25"/>
      <x:c r="D26" s="25"/>
      <x:c r="E26" s="25"/>
      <x:c r="F26" s="25"/>
      <x:c r="G26" s="25"/>
      <x:c r="H26" s="25"/>
    </x:row>
    <x:row r="27">
      <x:c r="A27" s="25"/>
      <x:c r="B27" s="25"/>
      <x:c r="C27" s="25"/>
      <x:c r="D27" s="25"/>
      <x:c r="E27" s="25"/>
      <x:c r="F27" s="25"/>
      <x:c r="G27" s="25"/>
      <x:c r="H27" s="25"/>
    </x:row>
    <x:row r="28">
      <x:c r="A28" s="25"/>
      <x:c r="B28" s="25"/>
      <x:c r="C28" s="25"/>
      <x:c r="D28" s="25"/>
      <x:c r="E28" s="25"/>
      <x:c r="F28" s="25"/>
      <x:c r="G28" s="25"/>
      <x:c r="H28" s="25"/>
    </x:row>
    <x:row r="29">
      <x:c r="A29" s="25"/>
      <x:c r="B29" s="25"/>
      <x:c r="C29" s="25"/>
      <x:c r="D29" s="25"/>
      <x:c r="E29" s="25"/>
      <x:c r="F29" s="25"/>
      <x:c r="G29" s="25"/>
      <x:c r="H29" s="25"/>
    </x:row>
    <x:row r="30" ht="30" customHeight="1">
      <x:c r="A30" s="30" t="str">
        <x:v>Chart source: daily formula-linked data in A49:C77 below. Four days exceed the 48-hour threshold. The highest turnaround is 58 hours on 16 September.</x:v>
      </x:c>
      <x:c r="B30" s="30" t="str">
        <x:v>Chart source: daily formula-linked data in A49:C77 below. Four days exceed the 48-hour threshold. The highest turnaround is 58 hours on 16 September.</x:v>
      </x:c>
      <x:c r="C30" s="30" t="str">
        <x:v>Chart source: daily formula-linked data in A49:C77 below. Four days exceed the 48-hour threshold. The highest turnaround is 58 hours on 16 September.</x:v>
      </x:c>
      <x:c r="D30" s="30" t="str">
        <x:v>Chart source: daily formula-linked data in A49:C77 below. Four days exceed the 48-hour threshold. The highest turnaround is 58 hours on 16 September.</x:v>
      </x:c>
      <x:c r="E30" s="30" t="str">
        <x:v>Chart source: daily formula-linked data in A49:C77 below. Four days exceed the 48-hour threshold. The highest turnaround is 58 hours on 16 September.</x:v>
      </x:c>
      <x:c r="F30" s="30" t="str">
        <x:v>Chart source: daily formula-linked data in A49:C77 below. Four days exceed the 48-hour threshold. The highest turnaround is 58 hours on 16 September.</x:v>
      </x:c>
      <x:c r="G30" s="30" t="str">
        <x:v>Chart source: daily formula-linked data in A49:C77 below. Four days exceed the 48-hour threshold. The highest turnaround is 58 hours on 16 September.</x:v>
      </x:c>
      <x:c r="H30" s="30" t="str">
        <x:v>Chart source: daily formula-linked data in A49:C77 below. Four days exceed the 48-hour threshold. The highest turnaround is 58 hours on 16 September.</x:v>
      </x:c>
    </x:row>
    <x:row r="31">
      <x:c r="A31" s="25"/>
      <x:c r="B31" s="25"/>
      <x:c r="C31" s="25"/>
      <x:c r="D31" s="25"/>
      <x:c r="E31" s="25"/>
      <x:c r="F31" s="25"/>
      <x:c r="G31" s="25"/>
      <x:c r="H31" s="25"/>
    </x:row>
    <x:row r="32" ht="28" customHeight="1">
      <x:c r="A32" s="41" t="str">
        <x:v>Transparent calculations | inspect each formula in the formula bar</x:v>
      </x:c>
      <x:c r="B32" s="41" t="str">
        <x:v>Transparent calculations | inspect each formula in the formula bar</x:v>
      </x:c>
      <x:c r="C32" s="41" t="str">
        <x:v>Transparent calculations | inspect each formula in the formula bar</x:v>
      </x:c>
      <x:c r="D32" s="41" t="str">
        <x:v>Transparent calculations | inspect each formula in the formula bar</x:v>
      </x:c>
      <x:c r="E32" s="41" t="str">
        <x:v>Transparent calculations | inspect each formula in the formula bar</x:v>
      </x:c>
      <x:c r="F32" s="41" t="str">
        <x:v>Transparent calculations | inspect each formula in the formula bar</x:v>
      </x:c>
      <x:c r="G32" s="41" t="str">
        <x:v>Transparent calculations | inspect each formula in the formula bar</x:v>
      </x:c>
      <x:c r="H32" s="41" t="str">
        <x:v>Transparent calculations | inspect each formula in the formula bar</x:v>
      </x:c>
    </x:row>
    <x:row r="33" ht="32" customHeight="1">
      <x:c r="A33" s="35" t="str">
        <x:v>Check</x:v>
      </x:c>
      <x:c r="B33" s="35" t="str">
        <x:v>Source cells</x:v>
      </x:c>
      <x:c r="C33" s="35" t="str">
        <x:v>Result</x:v>
      </x:c>
      <x:c r="D33" s="35" t="str">
        <x:v>Unit</x:v>
      </x:c>
      <x:c r="E33" s="35" t="str">
        <x:v>What was checked</x:v>
      </x:c>
      <x:c r="F33" s="35" t="str">
        <x:v>Review status</x:v>
      </x:c>
      <x:c r="G33" s="25"/>
      <x:c r="H33" s="25"/>
    </x:row>
    <x:row r="34" ht="72" customHeight="1">
      <x:c r="A34" s="25" t="str">
        <x:v>Above-SLA days</x:v>
      </x:c>
      <x:c r="B34" s="25" t="str">
        <x:v>KPI_Data!E2:E29</x:v>
      </x:c>
      <x:c r="C34" s="33" t="n">
        <x:f>COUNTIF(KPI_Data!E2:E29,"Above SLA")</x:f>
        <x:v>4</x:v>
      </x:c>
      <x:c r="D34" s="25" t="str">
        <x:v>days</x:v>
      </x:c>
      <x:c r="E34" s="25" t="str">
        <x:v>Four daily averages exceed the same-day threshold.</x:v>
      </x:c>
      <x:c r="F34" s="25" t="str">
        <x:v>Verified</x:v>
      </x:c>
      <x:c r="G34" s="25"/>
      <x:c r="H34" s="25"/>
    </x:row>
    <x:row r="35" ht="72" customHeight="1">
      <x:c r="A35" s="25" t="str">
        <x:v>Peak claim TAT</x:v>
      </x:c>
      <x:c r="B35" s="25" t="str">
        <x:v>KPI_Data!C2:C29</x:v>
      </x:c>
      <x:c r="C35" s="33" t="n">
        <x:f>MAX(KPI_Data!C2:C29)</x:f>
        <x:v>58</x:v>
      </x:c>
      <x:c r="D35" s="25" t="str">
        <x:v>hours</x:v>
      </x:c>
      <x:c r="E35" s="25" t="str">
        <x:v>Maximum daily average, not an individual claim duration.</x:v>
      </x:c>
      <x:c r="F35" s="25" t="str">
        <x:v>Verified</x:v>
      </x:c>
      <x:c r="G35" s="25"/>
      <x:c r="H35" s="25"/>
    </x:row>
    <x:row r="36" ht="72" customHeight="1">
      <x:c r="A36" s="25" t="str">
        <x:v>Date of peak TAT</x:v>
      </x:c>
      <x:c r="B36" s="25" t="str">
        <x:v>KPI_Data!A2:A29 / C2:C29</x:v>
      </x:c>
      <x:c r="C36" s="43" t="n">
        <x:f>INDEX(KPI_Data!A2:A29,MATCH(C35,KPI_Data!C2:C29,0))</x:f>
        <x:v>46281</x:v>
      </x:c>
      <x:c r="D36" s="25" t="str">
        <x:v>date</x:v>
      </x:c>
      <x:c r="E36" s="25" t="str">
        <x:v>First date matching the maximum TAT.</x:v>
      </x:c>
      <x:c r="F36" s="25" t="str">
        <x:v>Verified</x:v>
      </x:c>
      <x:c r="G36" s="25"/>
      <x:c r="H36" s="25"/>
    </x:row>
    <x:row r="37" ht="72" customHeight="1">
      <x:c r="A37" s="25" t="str">
        <x:v>Complaint start</x:v>
      </x:c>
      <x:c r="B37" s="25" t="str">
        <x:v>KPI_Data!F15</x:v>
      </x:c>
      <x:c r="C37" s="33" t="n">
        <x:f>KPI_Data!F15</x:f>
        <x:v>13</x:v>
      </x:c>
      <x:c r="D37" s="25" t="str">
        <x:v>complaints</x:v>
      </x:c>
      <x:c r="E37" s="25" t="str">
        <x:v>14 Sep: daily count, not a cumulative total.</x:v>
      </x:c>
      <x:c r="F37" s="25" t="str">
        <x:v>Verified</x:v>
      </x:c>
      <x:c r="G37" s="25"/>
      <x:c r="H37" s="25"/>
    </x:row>
    <x:row r="38" ht="72" customHeight="1">
      <x:c r="A38" s="25" t="str">
        <x:v>Complaint end / peak</x:v>
      </x:c>
      <x:c r="B38" s="25" t="str">
        <x:v>KPI_Data!F22</x:v>
      </x:c>
      <x:c r="C38" s="33" t="n">
        <x:f>KPI_Data!F22</x:f>
        <x:v>24</x:v>
      </x:c>
      <x:c r="D38" s="25" t="str">
        <x:v>complaints</x:v>
      </x:c>
      <x:c r="E38" s="25" t="str">
        <x:v>21 Sep: also the maximum count in the 28-day source.</x:v>
      </x:c>
      <x:c r="F38" s="25" t="str">
        <x:v>Verified</x:v>
      </x:c>
      <x:c r="G38" s="25"/>
      <x:c r="H38" s="25"/>
    </x:row>
    <x:row r="39" ht="72" customHeight="1">
      <x:c r="A39" s="25" t="str">
        <x:v>Complaint change</x:v>
      </x:c>
      <x:c r="B39" s="25" t="str">
        <x:v>F22 minus F15</x:v>
      </x:c>
      <x:c r="C39" s="33" t="n">
        <x:f>C38-C37</x:f>
        <x:v>11</x:v>
      </x:c>
      <x:c r="D39" s="25" t="str">
        <x:v>complaints</x:v>
      </x:c>
      <x:c r="E39" s="25" t="str">
        <x:v>Endpoint increase; does not imply continuous growth across all 28 days.</x:v>
      </x:c>
      <x:c r="F39" s="25" t="str">
        <x:v>Verified</x:v>
      </x:c>
      <x:c r="G39" s="25"/>
      <x:c r="H39" s="25"/>
    </x:row>
    <x:row r="40" ht="72" customHeight="1">
      <x:c r="A40" s="25" t="str">
        <x:v>Conversion start</x:v>
      </x:c>
      <x:c r="B40" s="25" t="str">
        <x:v>KPI_Data!H23 / G23</x:v>
      </x:c>
      <x:c r="C40" s="34" t="n">
        <x:f>KPI_Data!H23/KPI_Data!G23</x:f>
        <x:v>0.11296296296296296</x:v>
      </x:c>
      <x:c r="D40" s="25" t="str">
        <x:v>rate</x:v>
      </x:c>
      <x:c r="E40" s="25" t="str">
        <x:v>22 Sep: 61 policies / 540 leads.</x:v>
      </x:c>
      <x:c r="F40" s="25" t="str">
        <x:v>Verified</x:v>
      </x:c>
      <x:c r="G40" s="25"/>
      <x:c r="H40" s="25"/>
    </x:row>
    <x:row r="41" ht="72" customHeight="1">
      <x:c r="A41" s="25" t="str">
        <x:v>Conversion end</x:v>
      </x:c>
      <x:c r="B41" s="25" t="str">
        <x:v>KPI_Data!H26 / G26</x:v>
      </x:c>
      <x:c r="C41" s="34" t="n">
        <x:f>KPI_Data!H26/KPI_Data!G26</x:f>
        <x:v>0.09473684210526316</x:v>
      </x:c>
      <x:c r="D41" s="25" t="str">
        <x:v>rate</x:v>
      </x:c>
      <x:c r="E41" s="25" t="str">
        <x:v>25 Sep: 54 policies / 570 leads.</x:v>
      </x:c>
      <x:c r="F41" s="25" t="str">
        <x:v>Verified</x:v>
      </x:c>
      <x:c r="G41" s="25"/>
      <x:c r="H41" s="25"/>
    </x:row>
    <x:row r="42" ht="72" customHeight="1">
      <x:c r="A42" s="25" t="str">
        <x:v>Conversion change</x:v>
      </x:c>
      <x:c r="B42" s="25" t="str">
        <x:v>(C41 minus C40) × 100</x:v>
      </x:c>
      <x:c r="C42" s="44" t="n">
        <x:f>(C41-C40)*100</x:f>
        <x:v>-1.82261208576998</x:v>
      </x:c>
      <x:c r="D42" s="25" t="str">
        <x:v>percentage points</x:v>
      </x:c>
      <x:c r="E42" s="25" t="str">
        <x:v>A difference between rates, not a relative percentage change.</x:v>
      </x:c>
      <x:c r="F42" s="25" t="str">
        <x:v>Verified</x:v>
      </x:c>
      <x:c r="G42" s="25"/>
      <x:c r="H42" s="25"/>
    </x:row>
    <x:row r="43">
      <x:c r="A43" s="25"/>
      <x:c r="B43" s="25"/>
      <x:c r="C43" s="25"/>
      <x:c r="D43" s="25"/>
      <x:c r="E43" s="25"/>
      <x:c r="F43" s="25"/>
      <x:c r="G43" s="25"/>
      <x:c r="H43" s="25"/>
    </x:row>
    <x:row r="44" ht="36" customHeight="1">
      <x:c r="A44" s="30" t="str">
        <x:v>Complaint colours on KPI_Data!F2:F29: 0–10 light green; 11–17 medium green; 18+ dark green. Darker means more complaints, not better performance. These are display bands, not an approved target or SLA.</x:v>
      </x:c>
      <x:c r="B44" s="30" t="str">
        <x:v>Complaint colours on KPI_Data!F2:F29: 0–10 light green; 11–17 medium green; 18+ dark green. Darker means more complaints, not better performance. These are display bands, not an approved target or SLA.</x:v>
      </x:c>
      <x:c r="C44" s="30" t="str">
        <x:v>Complaint colours on KPI_Data!F2:F29: 0–10 light green; 11–17 medium green; 18+ dark green. Darker means more complaints, not better performance. These are display bands, not an approved target or SLA.</x:v>
      </x:c>
      <x:c r="D44" s="30" t="str">
        <x:v>Complaint colours on KPI_Data!F2:F29: 0–10 light green; 11–17 medium green; 18+ dark green. Darker means more complaints, not better performance. These are display bands, not an approved target or SLA.</x:v>
      </x:c>
      <x:c r="E44" s="30" t="str">
        <x:v>Complaint colours on KPI_Data!F2:F29: 0–10 light green; 11–17 medium green; 18+ dark green. Darker means more complaints, not better performance. These are display bands, not an approved target or SLA.</x:v>
      </x:c>
      <x:c r="F44" s="30" t="str">
        <x:v>Complaint colours on KPI_Data!F2:F29: 0–10 light green; 11–17 medium green; 18+ dark green. Darker means more complaints, not better performance. These are display bands, not an approved target or SLA.</x:v>
      </x:c>
      <x:c r="G44" s="30" t="str">
        <x:v>Complaint colours on KPI_Data!F2:F29: 0–10 light green; 11–17 medium green; 18+ dark green. Darker means more complaints, not better performance. These are display bands, not an approved target or SLA.</x:v>
      </x:c>
      <x:c r="H44" s="30" t="str">
        <x:v>Complaint colours on KPI_Data!F2:F29: 0–10 light green; 11–17 medium green; 18+ dark green. Darker means more complaints, not better performance. These are display bands, not an approved target or SLA.</x:v>
      </x:c>
    </x:row>
    <x:row r="45" ht="34" customHeight="1">
      <x:c r="A45" s="30" t="str">
        <x:v>Human review: validate dates, units, chart lines and source cells again before reuse. Do not claim prepared findings as your own Copilot work. Workbook change history is not evidence that this backup was generated in your session.</x:v>
      </x:c>
      <x:c r="B45" s="30" t="str">
        <x:v>Human review: validate dates, units, chart lines and source cells again before reuse. Do not claim prepared findings as your own Copilot work. Workbook change history is not evidence that this backup was generated in your session.</x:v>
      </x:c>
      <x:c r="C45" s="30" t="str">
        <x:v>Human review: validate dates, units, chart lines and source cells again before reuse. Do not claim prepared findings as your own Copilot work. Workbook change history is not evidence that this backup was generated in your session.</x:v>
      </x:c>
      <x:c r="D45" s="30" t="str">
        <x:v>Human review: validate dates, units, chart lines and source cells again before reuse. Do not claim prepared findings as your own Copilot work. Workbook change history is not evidence that this backup was generated in your session.</x:v>
      </x:c>
      <x:c r="E45" s="30" t="str">
        <x:v>Human review: validate dates, units, chart lines and source cells again before reuse. Do not claim prepared findings as your own Copilot work. Workbook change history is not evidence that this backup was generated in your session.</x:v>
      </x:c>
      <x:c r="F45" s="30" t="str">
        <x:v>Human review: validate dates, units, chart lines and source cells again before reuse. Do not claim prepared findings as your own Copilot work. Workbook change history is not evidence that this backup was generated in your session.</x:v>
      </x:c>
      <x:c r="G45" s="30" t="str">
        <x:v>Human review: validate dates, units, chart lines and source cells again before reuse. Do not claim prepared findings as your own Copilot work. Workbook change history is not evidence that this backup was generated in your session.</x:v>
      </x:c>
      <x:c r="H45" s="30" t="str">
        <x:v>Human review: validate dates, units, chart lines and source cells again before reuse. Do not claim prepared findings as your own Copilot work. Workbook change history is not evidence that this backup was generated in your session.</x:v>
      </x:c>
    </x:row>
    <x:row r="46" ht="34" customHeight="1">
      <x:c r="A46" s="30" t="str">
        <x:v>Decision question: what additional evidence is needed to investigate these service patterns? Causes, financial impact, action owners and approval dates remain To confirm unless another permitted source confirms them.</x:v>
      </x:c>
      <x:c r="B46" s="30" t="str">
        <x:v>Decision question: what additional evidence is needed to investigate these service patterns? Causes, financial impact, action owners and approval dates remain To confirm unless another permitted source confirms them.</x:v>
      </x:c>
      <x:c r="C46" s="30" t="str">
        <x:v>Decision question: what additional evidence is needed to investigate these service patterns? Causes, financial impact, action owners and approval dates remain To confirm unless another permitted source confirms them.</x:v>
      </x:c>
      <x:c r="D46" s="30" t="str">
        <x:v>Decision question: what additional evidence is needed to investigate these service patterns? Causes, financial impact, action owners and approval dates remain To confirm unless another permitted source confirms them.</x:v>
      </x:c>
      <x:c r="E46" s="30" t="str">
        <x:v>Decision question: what additional evidence is needed to investigate these service patterns? Causes, financial impact, action owners and approval dates remain To confirm unless another permitted source confirms them.</x:v>
      </x:c>
      <x:c r="F46" s="30" t="str">
        <x:v>Decision question: what additional evidence is needed to investigate these service patterns? Causes, financial impact, action owners and approval dates remain To confirm unless another permitted source confirms them.</x:v>
      </x:c>
      <x:c r="G46" s="30" t="str">
        <x:v>Decision question: what additional evidence is needed to investigate these service patterns? Causes, financial impact, action owners and approval dates remain To confirm unless another permitted source confirms them.</x:v>
      </x:c>
      <x:c r="H46" s="30" t="str">
        <x:v>Decision question: what additional evidence is needed to investigate these service patterns? Causes, financial impact, action owners and approval dates remain To confirm unless another permitted source confirms them.</x:v>
      </x:c>
    </x:row>
    <x:row r="47">
      <x:c r="A47" s="25"/>
      <x:c r="B47" s="25"/>
      <x:c r="C47" s="25"/>
      <x:c r="D47" s="25"/>
      <x:c r="E47" s="25"/>
      <x:c r="F47" s="25"/>
      <x:c r="G47" s="25"/>
      <x:c r="H47" s="25"/>
    </x:row>
    <x:row r="48" ht="28" customHeight="1">
      <x:c r="A48" s="41" t="str">
        <x:v>Daily chart and SLA audit | formulas link back to the original source rows</x:v>
      </x:c>
      <x:c r="B48" s="41" t="str">
        <x:v>Daily chart and SLA audit | formulas link back to the original source rows</x:v>
      </x:c>
      <x:c r="C48" s="41" t="str">
        <x:v>Daily chart and SLA audit | formulas link back to the original source rows</x:v>
      </x:c>
      <x:c r="D48" s="41" t="str">
        <x:v>Daily chart and SLA audit | formulas link back to the original source rows</x:v>
      </x:c>
      <x:c r="E48" s="41" t="str">
        <x:v>Daily chart and SLA audit | formulas link back to the original source rows</x:v>
      </x:c>
      <x:c r="F48" s="41" t="str">
        <x:v>Daily chart and SLA audit | formulas link back to the original source rows</x:v>
      </x:c>
      <x:c r="G48" s="41" t="str">
        <x:v>Daily chart and SLA audit | formulas link back to the original source rows</x:v>
      </x:c>
      <x:c r="H48" s="41" t="str">
        <x:v>Daily chart and SLA audit | formulas link back to the original source rows</x:v>
      </x:c>
    </x:row>
    <x:row r="49" ht="32" customHeight="1">
      <x:c r="A49" s="35" t="str">
        <x:v>Chart date</x:v>
      </x:c>
      <x:c r="B49" s="35" t="str">
        <x:v>Claim TAT Hours</x:v>
      </x:c>
      <x:c r="C49" s="35" t="str">
        <x:v>Claim SLA Hours</x:v>
      </x:c>
      <x:c r="D49" s="35" t="str">
        <x:v>Hours above SLA</x:v>
      </x:c>
      <x:c r="E49" s="35" t="str">
        <x:v>SLA status</x:v>
      </x:c>
      <x:c r="F49" s="35" t="str">
        <x:v>Source row</x:v>
      </x:c>
      <x:c r="G49" s="25"/>
      <x:c r="H49" s="25"/>
    </x:row>
    <x:row r="50" ht="23" customHeight="1">
      <x:c r="A50" s="25" t="str">
        <x:f>TEXT(KPI_Data!A2,"dd mmm")</x:f>
        <x:v>01 Sep</x:v>
      </x:c>
      <x:c r="B50" s="31" t="n">
        <x:f>KPI_Data!C2</x:f>
        <x:v>39</x:v>
      </x:c>
      <x:c r="C50" s="31" t="n">
        <x:f>KPI_Data!D2</x:f>
        <x:v>48</x:v>
      </x:c>
      <x:c r="D50" s="31" t="n">
        <x:f>MAX(0,B50-C50)</x:f>
        <x:v>0</x:v>
      </x:c>
      <x:c r="E50" s="25" t="str">
        <x:f>IF(B50&gt;C50,"Above SLA","Within SLA")</x:f>
        <x:v>Within SLA</x:v>
      </x:c>
      <x:c r="F50" s="25" t="str">
        <x:f>"KPI_Data!A2:E2"</x:f>
        <x:v>KPI_Data!A2:E2</x:v>
      </x:c>
      <x:c r="G50" s="25"/>
      <x:c r="H50" s="25"/>
    </x:row>
    <x:row r="51" ht="23" customHeight="1">
      <x:c r="A51" s="25" t="str">
        <x:f>TEXT(KPI_Data!A3,"dd mmm")</x:f>
        <x:v>02 Sep</x:v>
      </x:c>
      <x:c r="B51" s="31" t="n">
        <x:f>KPI_Data!C3</x:f>
        <x:v>40</x:v>
      </x:c>
      <x:c r="C51" s="31" t="n">
        <x:f>KPI_Data!D3</x:f>
        <x:v>48</x:v>
      </x:c>
      <x:c r="D51" s="31" t="n">
        <x:f>MAX(0,B51-C51)</x:f>
        <x:v>0</x:v>
      </x:c>
      <x:c r="E51" s="25" t="str">
        <x:f>IF(B51&gt;C51,"Above SLA","Within SLA")</x:f>
        <x:v>Within SLA</x:v>
      </x:c>
      <x:c r="F51" s="25" t="str">
        <x:f>"KPI_Data!A3:E3"</x:f>
        <x:v>KPI_Data!A3:E3</x:v>
      </x:c>
      <x:c r="G51" s="25"/>
      <x:c r="H51" s="25"/>
    </x:row>
    <x:row r="52" ht="23" customHeight="1">
      <x:c r="A52" s="25" t="str">
        <x:f>TEXT(KPI_Data!A4,"dd mmm")</x:f>
        <x:v>03 Sep</x:v>
      </x:c>
      <x:c r="B52" s="31" t="n">
        <x:f>KPI_Data!C4</x:f>
        <x:v>38</x:v>
      </x:c>
      <x:c r="C52" s="31" t="n">
        <x:f>KPI_Data!D4</x:f>
        <x:v>48</x:v>
      </x:c>
      <x:c r="D52" s="31" t="n">
        <x:f>MAX(0,B52-C52)</x:f>
        <x:v>0</x:v>
      </x:c>
      <x:c r="E52" s="25" t="str">
        <x:f>IF(B52&gt;C52,"Above SLA","Within SLA")</x:f>
        <x:v>Within SLA</x:v>
      </x:c>
      <x:c r="F52" s="25" t="str">
        <x:f>"KPI_Data!A4:E4"</x:f>
        <x:v>KPI_Data!A4:E4</x:v>
      </x:c>
      <x:c r="G52" s="25"/>
      <x:c r="H52" s="25"/>
    </x:row>
    <x:row r="53" ht="23" customHeight="1">
      <x:c r="A53" s="25" t="str">
        <x:f>TEXT(KPI_Data!A5,"dd mmm")</x:f>
        <x:v>04 Sep</x:v>
      </x:c>
      <x:c r="B53" s="31" t="n">
        <x:f>KPI_Data!C5</x:f>
        <x:v>42</x:v>
      </x:c>
      <x:c r="C53" s="31" t="n">
        <x:f>KPI_Data!D5</x:f>
        <x:v>48</x:v>
      </x:c>
      <x:c r="D53" s="31" t="n">
        <x:f>MAX(0,B53-C53)</x:f>
        <x:v>0</x:v>
      </x:c>
      <x:c r="E53" s="25" t="str">
        <x:f>IF(B53&gt;C53,"Above SLA","Within SLA")</x:f>
        <x:v>Within SLA</x:v>
      </x:c>
      <x:c r="F53" s="25" t="str">
        <x:f>"KPI_Data!A5:E5"</x:f>
        <x:v>KPI_Data!A5:E5</x:v>
      </x:c>
      <x:c r="G53" s="25"/>
      <x:c r="H53" s="25"/>
    </x:row>
    <x:row r="54" ht="23" customHeight="1">
      <x:c r="A54" s="25" t="str">
        <x:f>TEXT(KPI_Data!A6,"dd mmm")</x:f>
        <x:v>05 Sep</x:v>
      </x:c>
      <x:c r="B54" s="31" t="n">
        <x:f>KPI_Data!C6</x:f>
        <x:v>41</x:v>
      </x:c>
      <x:c r="C54" s="31" t="n">
        <x:f>KPI_Data!D6</x:f>
        <x:v>48</x:v>
      </x:c>
      <x:c r="D54" s="31" t="n">
        <x:f>MAX(0,B54-C54)</x:f>
        <x:v>0</x:v>
      </x:c>
      <x:c r="E54" s="25" t="str">
        <x:f>IF(B54&gt;C54,"Above SLA","Within SLA")</x:f>
        <x:v>Within SLA</x:v>
      </x:c>
      <x:c r="F54" s="25" t="str">
        <x:f>"KPI_Data!A6:E6"</x:f>
        <x:v>KPI_Data!A6:E6</x:v>
      </x:c>
      <x:c r="G54" s="25"/>
      <x:c r="H54" s="25"/>
    </x:row>
    <x:row r="55" ht="23" customHeight="1">
      <x:c r="A55" s="25" t="str">
        <x:f>TEXT(KPI_Data!A7,"dd mmm")</x:f>
        <x:v>06 Sep</x:v>
      </x:c>
      <x:c r="B55" s="31" t="n">
        <x:f>KPI_Data!C7</x:f>
        <x:v>40</x:v>
      </x:c>
      <x:c r="C55" s="31" t="n">
        <x:f>KPI_Data!D7</x:f>
        <x:v>48</x:v>
      </x:c>
      <x:c r="D55" s="31" t="n">
        <x:f>MAX(0,B55-C55)</x:f>
        <x:v>0</x:v>
      </x:c>
      <x:c r="E55" s="25" t="str">
        <x:f>IF(B55&gt;C55,"Above SLA","Within SLA")</x:f>
        <x:v>Within SLA</x:v>
      </x:c>
      <x:c r="F55" s="25" t="str">
        <x:f>"KPI_Data!A7:E7"</x:f>
        <x:v>KPI_Data!A7:E7</x:v>
      </x:c>
      <x:c r="G55" s="25"/>
      <x:c r="H55" s="25"/>
    </x:row>
    <x:row r="56" ht="23" customHeight="1">
      <x:c r="A56" s="25" t="str">
        <x:f>TEXT(KPI_Data!A8,"dd mmm")</x:f>
        <x:v>07 Sep</x:v>
      </x:c>
      <x:c r="B56" s="31" t="n">
        <x:f>KPI_Data!C8</x:f>
        <x:v>43</x:v>
      </x:c>
      <x:c r="C56" s="31" t="n">
        <x:f>KPI_Data!D8</x:f>
        <x:v>48</x:v>
      </x:c>
      <x:c r="D56" s="31" t="n">
        <x:f>MAX(0,B56-C56)</x:f>
        <x:v>0</x:v>
      </x:c>
      <x:c r="E56" s="25" t="str">
        <x:f>IF(B56&gt;C56,"Above SLA","Within SLA")</x:f>
        <x:v>Within SLA</x:v>
      </x:c>
      <x:c r="F56" s="25" t="str">
        <x:f>"KPI_Data!A8:E8"</x:f>
        <x:v>KPI_Data!A8:E8</x:v>
      </x:c>
      <x:c r="G56" s="25"/>
      <x:c r="H56" s="25"/>
    </x:row>
    <x:row r="57" ht="23" customHeight="1">
      <x:c r="A57" s="25" t="str">
        <x:f>TEXT(KPI_Data!A9,"dd mmm")</x:f>
        <x:v>08 Sep</x:v>
      </x:c>
      <x:c r="B57" s="31" t="n">
        <x:f>KPI_Data!C9</x:f>
        <x:v>44</x:v>
      </x:c>
      <x:c r="C57" s="31" t="n">
        <x:f>KPI_Data!D9</x:f>
        <x:v>48</x:v>
      </x:c>
      <x:c r="D57" s="31" t="n">
        <x:f>MAX(0,B57-C57)</x:f>
        <x:v>0</x:v>
      </x:c>
      <x:c r="E57" s="25" t="str">
        <x:f>IF(B57&gt;C57,"Above SLA","Within SLA")</x:f>
        <x:v>Within SLA</x:v>
      </x:c>
      <x:c r="F57" s="25" t="str">
        <x:f>"KPI_Data!A9:E9"</x:f>
        <x:v>KPI_Data!A9:E9</x:v>
      </x:c>
      <x:c r="G57" s="25"/>
      <x:c r="H57" s="25"/>
    </x:row>
    <x:row r="58" ht="23" customHeight="1">
      <x:c r="A58" s="25" t="str">
        <x:f>TEXT(KPI_Data!A10,"dd mmm")</x:f>
        <x:v>09 Sep</x:v>
      </x:c>
      <x:c r="B58" s="31" t="n">
        <x:f>KPI_Data!C10</x:f>
        <x:v>42</x:v>
      </x:c>
      <x:c r="C58" s="31" t="n">
        <x:f>KPI_Data!D10</x:f>
        <x:v>48</x:v>
      </x:c>
      <x:c r="D58" s="31" t="n">
        <x:f>MAX(0,B58-C58)</x:f>
        <x:v>0</x:v>
      </x:c>
      <x:c r="E58" s="25" t="str">
        <x:f>IF(B58&gt;C58,"Above SLA","Within SLA")</x:f>
        <x:v>Within SLA</x:v>
      </x:c>
      <x:c r="F58" s="25" t="str">
        <x:f>"KPI_Data!A10:E10"</x:f>
        <x:v>KPI_Data!A10:E10</x:v>
      </x:c>
      <x:c r="G58" s="25"/>
      <x:c r="H58" s="25"/>
    </x:row>
    <x:row r="59" ht="23" customHeight="1">
      <x:c r="A59" s="25" t="str">
        <x:f>TEXT(KPI_Data!A11,"dd mmm")</x:f>
        <x:v>10 Sep</x:v>
      </x:c>
      <x:c r="B59" s="31" t="n">
        <x:f>KPI_Data!C11</x:f>
        <x:v>45</x:v>
      </x:c>
      <x:c r="C59" s="31" t="n">
        <x:f>KPI_Data!D11</x:f>
        <x:v>48</x:v>
      </x:c>
      <x:c r="D59" s="31" t="n">
        <x:f>MAX(0,B59-C59)</x:f>
        <x:v>0</x:v>
      </x:c>
      <x:c r="E59" s="25" t="str">
        <x:f>IF(B59&gt;C59,"Above SLA","Within SLA")</x:f>
        <x:v>Within SLA</x:v>
      </x:c>
      <x:c r="F59" s="25" t="str">
        <x:f>"KPI_Data!A11:E11"</x:f>
        <x:v>KPI_Data!A11:E11</x:v>
      </x:c>
      <x:c r="G59" s="25"/>
      <x:c r="H59" s="25"/>
    </x:row>
    <x:row r="60" ht="23" customHeight="1">
      <x:c r="A60" s="25" t="str">
        <x:f>TEXT(KPI_Data!A12,"dd mmm")</x:f>
        <x:v>11 Sep</x:v>
      </x:c>
      <x:c r="B60" s="31" t="n">
        <x:f>KPI_Data!C12</x:f>
        <x:v>46</x:v>
      </x:c>
      <x:c r="C60" s="31" t="n">
        <x:f>KPI_Data!D12</x:f>
        <x:v>48</x:v>
      </x:c>
      <x:c r="D60" s="31" t="n">
        <x:f>MAX(0,B60-C60)</x:f>
        <x:v>0</x:v>
      </x:c>
      <x:c r="E60" s="25" t="str">
        <x:f>IF(B60&gt;C60,"Above SLA","Within SLA")</x:f>
        <x:v>Within SLA</x:v>
      </x:c>
      <x:c r="F60" s="25" t="str">
        <x:f>"KPI_Data!A12:E12"</x:f>
        <x:v>KPI_Data!A12:E12</x:v>
      </x:c>
      <x:c r="G60" s="25"/>
      <x:c r="H60" s="25"/>
    </x:row>
    <x:row r="61" ht="23" customHeight="1">
      <x:c r="A61" s="25" t="str">
        <x:f>TEXT(KPI_Data!A13,"dd mmm")</x:f>
        <x:v>12 Sep</x:v>
      </x:c>
      <x:c r="B61" s="31" t="n">
        <x:f>KPI_Data!C13</x:f>
        <x:v>45</x:v>
      </x:c>
      <x:c r="C61" s="31" t="n">
        <x:f>KPI_Data!D13</x:f>
        <x:v>48</x:v>
      </x:c>
      <x:c r="D61" s="31" t="n">
        <x:f>MAX(0,B61-C61)</x:f>
        <x:v>0</x:v>
      </x:c>
      <x:c r="E61" s="25" t="str">
        <x:f>IF(B61&gt;C61,"Above SLA","Within SLA")</x:f>
        <x:v>Within SLA</x:v>
      </x:c>
      <x:c r="F61" s="25" t="str">
        <x:f>"KPI_Data!A13:E13"</x:f>
        <x:v>KPI_Data!A13:E13</x:v>
      </x:c>
      <x:c r="G61" s="25"/>
      <x:c r="H61" s="25"/>
    </x:row>
    <x:row r="62" ht="23" customHeight="1">
      <x:c r="A62" s="25" t="str">
        <x:f>TEXT(KPI_Data!A14,"dd mmm")</x:f>
        <x:v>13 Sep</x:v>
      </x:c>
      <x:c r="B62" s="31" t="n">
        <x:f>KPI_Data!C14</x:f>
        <x:v>47</x:v>
      </x:c>
      <x:c r="C62" s="31" t="n">
        <x:f>KPI_Data!D14</x:f>
        <x:v>48</x:v>
      </x:c>
      <x:c r="D62" s="31" t="n">
        <x:f>MAX(0,B62-C62)</x:f>
        <x:v>0</x:v>
      </x:c>
      <x:c r="E62" s="25" t="str">
        <x:f>IF(B62&gt;C62,"Above SLA","Within SLA")</x:f>
        <x:v>Within SLA</x:v>
      </x:c>
      <x:c r="F62" s="25" t="str">
        <x:f>"KPI_Data!A14:E14"</x:f>
        <x:v>KPI_Data!A14:E14</x:v>
      </x:c>
      <x:c r="G62" s="25"/>
      <x:c r="H62" s="25"/>
    </x:row>
    <x:row r="63" ht="23" customHeight="1">
      <x:c r="A63" s="25" t="str">
        <x:f>TEXT(KPI_Data!A15,"dd mmm")</x:f>
        <x:v>14 Sep</x:v>
      </x:c>
      <x:c r="B63" s="31" t="n">
        <x:f>KPI_Data!C15</x:f>
        <x:v>50</x:v>
      </x:c>
      <x:c r="C63" s="31" t="n">
        <x:f>KPI_Data!D15</x:f>
        <x:v>48</x:v>
      </x:c>
      <x:c r="D63" s="31" t="n">
        <x:f>MAX(0,B63-C63)</x:f>
        <x:v>2</x:v>
      </x:c>
      <x:c r="E63" s="25" t="str">
        <x:f>IF(B63&gt;C63,"Above SLA","Within SLA")</x:f>
        <x:v>Above SLA</x:v>
      </x:c>
      <x:c r="F63" s="25" t="str">
        <x:f>"KPI_Data!A15:E15"</x:f>
        <x:v>KPI_Data!A15:E15</x:v>
      </x:c>
      <x:c r="G63" s="25"/>
      <x:c r="H63" s="25"/>
    </x:row>
    <x:row r="64" ht="23" customHeight="1">
      <x:c r="A64" s="25" t="str">
        <x:f>TEXT(KPI_Data!A16,"dd mmm")</x:f>
        <x:v>15 Sep</x:v>
      </x:c>
      <x:c r="B64" s="31" t="n">
        <x:f>KPI_Data!C16</x:f>
        <x:v>55</x:v>
      </x:c>
      <x:c r="C64" s="31" t="n">
        <x:f>KPI_Data!D16</x:f>
        <x:v>48</x:v>
      </x:c>
      <x:c r="D64" s="31" t="n">
        <x:f>MAX(0,B64-C64)</x:f>
        <x:v>7</x:v>
      </x:c>
      <x:c r="E64" s="25" t="str">
        <x:f>IF(B64&gt;C64,"Above SLA","Within SLA")</x:f>
        <x:v>Above SLA</x:v>
      </x:c>
      <x:c r="F64" s="25" t="str">
        <x:f>"KPI_Data!A16:E16"</x:f>
        <x:v>KPI_Data!A16:E16</x:v>
      </x:c>
      <x:c r="G64" s="25"/>
      <x:c r="H64" s="25"/>
    </x:row>
    <x:row r="65" ht="23" customHeight="1">
      <x:c r="A65" s="25" t="str">
        <x:f>TEXT(KPI_Data!A17,"dd mmm")</x:f>
        <x:v>16 Sep</x:v>
      </x:c>
      <x:c r="B65" s="31" t="n">
        <x:f>KPI_Data!C17</x:f>
        <x:v>58</x:v>
      </x:c>
      <x:c r="C65" s="31" t="n">
        <x:f>KPI_Data!D17</x:f>
        <x:v>48</x:v>
      </x:c>
      <x:c r="D65" s="31" t="n">
        <x:f>MAX(0,B65-C65)</x:f>
        <x:v>10</x:v>
      </x:c>
      <x:c r="E65" s="25" t="str">
        <x:f>IF(B65&gt;C65,"Above SLA","Within SLA")</x:f>
        <x:v>Above SLA</x:v>
      </x:c>
      <x:c r="F65" s="25" t="str">
        <x:f>"KPI_Data!A17:E17"</x:f>
        <x:v>KPI_Data!A17:E17</x:v>
      </x:c>
      <x:c r="G65" s="25"/>
      <x:c r="H65" s="25"/>
    </x:row>
    <x:row r="66" ht="23" customHeight="1">
      <x:c r="A66" s="25" t="str">
        <x:f>TEXT(KPI_Data!A18,"dd mmm")</x:f>
        <x:v>17 Sep</x:v>
      </x:c>
      <x:c r="B66" s="31" t="n">
        <x:f>KPI_Data!C18</x:f>
        <x:v>52</x:v>
      </x:c>
      <x:c r="C66" s="31" t="n">
        <x:f>KPI_Data!D18</x:f>
        <x:v>48</x:v>
      </x:c>
      <x:c r="D66" s="31" t="n">
        <x:f>MAX(0,B66-C66)</x:f>
        <x:v>4</x:v>
      </x:c>
      <x:c r="E66" s="25" t="str">
        <x:f>IF(B66&gt;C66,"Above SLA","Within SLA")</x:f>
        <x:v>Above SLA</x:v>
      </x:c>
      <x:c r="F66" s="25" t="str">
        <x:f>"KPI_Data!A18:E18"</x:f>
        <x:v>KPI_Data!A18:E18</x:v>
      </x:c>
      <x:c r="G66" s="25"/>
      <x:c r="H66" s="25"/>
    </x:row>
    <x:row r="67" ht="23" customHeight="1">
      <x:c r="A67" s="25" t="str">
        <x:f>TEXT(KPI_Data!A19,"dd mmm")</x:f>
        <x:v>18 Sep</x:v>
      </x:c>
      <x:c r="B67" s="31" t="n">
        <x:f>KPI_Data!C19</x:f>
        <x:v>47</x:v>
      </x:c>
      <x:c r="C67" s="31" t="n">
        <x:f>KPI_Data!D19</x:f>
        <x:v>48</x:v>
      </x:c>
      <x:c r="D67" s="31" t="n">
        <x:f>MAX(0,B67-C67)</x:f>
        <x:v>0</x:v>
      </x:c>
      <x:c r="E67" s="25" t="str">
        <x:f>IF(B67&gt;C67,"Above SLA","Within SLA")</x:f>
        <x:v>Within SLA</x:v>
      </x:c>
      <x:c r="F67" s="25" t="str">
        <x:f>"KPI_Data!A19:E19"</x:f>
        <x:v>KPI_Data!A19:E19</x:v>
      </x:c>
      <x:c r="G67" s="25"/>
      <x:c r="H67" s="25"/>
    </x:row>
    <x:row r="68" ht="23" customHeight="1">
      <x:c r="A68" s="25" t="str">
        <x:f>TEXT(KPI_Data!A20,"dd mmm")</x:f>
        <x:v>19 Sep</x:v>
      </x:c>
      <x:c r="B68" s="31" t="n">
        <x:f>KPI_Data!C20</x:f>
        <x:v>46</x:v>
      </x:c>
      <x:c r="C68" s="31" t="n">
        <x:f>KPI_Data!D20</x:f>
        <x:v>48</x:v>
      </x:c>
      <x:c r="D68" s="31" t="n">
        <x:f>MAX(0,B68-C68)</x:f>
        <x:v>0</x:v>
      </x:c>
      <x:c r="E68" s="25" t="str">
        <x:f>IF(B68&gt;C68,"Above SLA","Within SLA")</x:f>
        <x:v>Within SLA</x:v>
      </x:c>
      <x:c r="F68" s="25" t="str">
        <x:f>"KPI_Data!A20:E20"</x:f>
        <x:v>KPI_Data!A20:E20</x:v>
      </x:c>
      <x:c r="G68" s="25"/>
      <x:c r="H68" s="25"/>
    </x:row>
    <x:row r="69" ht="23" customHeight="1">
      <x:c r="A69" s="25" t="str">
        <x:f>TEXT(KPI_Data!A21,"dd mmm")</x:f>
        <x:v>20 Sep</x:v>
      </x:c>
      <x:c r="B69" s="31" t="n">
        <x:f>KPI_Data!C21</x:f>
        <x:v>45</x:v>
      </x:c>
      <x:c r="C69" s="31" t="n">
        <x:f>KPI_Data!D21</x:f>
        <x:v>48</x:v>
      </x:c>
      <x:c r="D69" s="31" t="n">
        <x:f>MAX(0,B69-C69)</x:f>
        <x:v>0</x:v>
      </x:c>
      <x:c r="E69" s="25" t="str">
        <x:f>IF(B69&gt;C69,"Above SLA","Within SLA")</x:f>
        <x:v>Within SLA</x:v>
      </x:c>
      <x:c r="F69" s="25" t="str">
        <x:f>"KPI_Data!A21:E21"</x:f>
        <x:v>KPI_Data!A21:E21</x:v>
      </x:c>
      <x:c r="G69" s="25"/>
      <x:c r="H69" s="25"/>
    </x:row>
    <x:row r="70" ht="23" customHeight="1">
      <x:c r="A70" s="25" t="str">
        <x:f>TEXT(KPI_Data!A22,"dd mmm")</x:f>
        <x:v>21 Sep</x:v>
      </x:c>
      <x:c r="B70" s="31" t="n">
        <x:f>KPI_Data!C22</x:f>
        <x:v>44</x:v>
      </x:c>
      <x:c r="C70" s="31" t="n">
        <x:f>KPI_Data!D22</x:f>
        <x:v>48</x:v>
      </x:c>
      <x:c r="D70" s="31" t="n">
        <x:f>MAX(0,B70-C70)</x:f>
        <x:v>0</x:v>
      </x:c>
      <x:c r="E70" s="25" t="str">
        <x:f>IF(B70&gt;C70,"Above SLA","Within SLA")</x:f>
        <x:v>Within SLA</x:v>
      </x:c>
      <x:c r="F70" s="25" t="str">
        <x:f>"KPI_Data!A22:E22"</x:f>
        <x:v>KPI_Data!A22:E22</x:v>
      </x:c>
      <x:c r="G70" s="25"/>
      <x:c r="H70" s="25"/>
    </x:row>
    <x:row r="71" ht="23" customHeight="1">
      <x:c r="A71" s="25" t="str">
        <x:f>TEXT(KPI_Data!A23,"dd mmm")</x:f>
        <x:v>22 Sep</x:v>
      </x:c>
      <x:c r="B71" s="31" t="n">
        <x:f>KPI_Data!C23</x:f>
        <x:v>43</x:v>
      </x:c>
      <x:c r="C71" s="31" t="n">
        <x:f>KPI_Data!D23</x:f>
        <x:v>48</x:v>
      </x:c>
      <x:c r="D71" s="31" t="n">
        <x:f>MAX(0,B71-C71)</x:f>
        <x:v>0</x:v>
      </x:c>
      <x:c r="E71" s="25" t="str">
        <x:f>IF(B71&gt;C71,"Above SLA","Within SLA")</x:f>
        <x:v>Within SLA</x:v>
      </x:c>
      <x:c r="F71" s="25" t="str">
        <x:f>"KPI_Data!A23:E23"</x:f>
        <x:v>KPI_Data!A23:E23</x:v>
      </x:c>
      <x:c r="G71" s="25"/>
      <x:c r="H71" s="25"/>
    </x:row>
    <x:row r="72" ht="23" customHeight="1">
      <x:c r="A72" s="25" t="str">
        <x:f>TEXT(KPI_Data!A24,"dd mmm")</x:f>
        <x:v>23 Sep</x:v>
      </x:c>
      <x:c r="B72" s="31" t="n">
        <x:f>KPI_Data!C24</x:f>
        <x:v>42</x:v>
      </x:c>
      <x:c r="C72" s="31" t="n">
        <x:f>KPI_Data!D24</x:f>
        <x:v>48</x:v>
      </x:c>
      <x:c r="D72" s="31" t="n">
        <x:f>MAX(0,B72-C72)</x:f>
        <x:v>0</x:v>
      </x:c>
      <x:c r="E72" s="25" t="str">
        <x:f>IF(B72&gt;C72,"Above SLA","Within SLA")</x:f>
        <x:v>Within SLA</x:v>
      </x:c>
      <x:c r="F72" s="25" t="str">
        <x:f>"KPI_Data!A24:E24"</x:f>
        <x:v>KPI_Data!A24:E24</x:v>
      </x:c>
      <x:c r="G72" s="25"/>
      <x:c r="H72" s="25"/>
    </x:row>
    <x:row r="73" ht="23" customHeight="1">
      <x:c r="A73" s="25" t="str">
        <x:f>TEXT(KPI_Data!A25,"dd mmm")</x:f>
        <x:v>24 Sep</x:v>
      </x:c>
      <x:c r="B73" s="31" t="n">
        <x:f>KPI_Data!C25</x:f>
        <x:v>41</x:v>
      </x:c>
      <x:c r="C73" s="31" t="n">
        <x:f>KPI_Data!D25</x:f>
        <x:v>48</x:v>
      </x:c>
      <x:c r="D73" s="31" t="n">
        <x:f>MAX(0,B73-C73)</x:f>
        <x:v>0</x:v>
      </x:c>
      <x:c r="E73" s="25" t="str">
        <x:f>IF(B73&gt;C73,"Above SLA","Within SLA")</x:f>
        <x:v>Within SLA</x:v>
      </x:c>
      <x:c r="F73" s="25" t="str">
        <x:f>"KPI_Data!A25:E25"</x:f>
        <x:v>KPI_Data!A25:E25</x:v>
      </x:c>
      <x:c r="G73" s="25"/>
      <x:c r="H73" s="25"/>
    </x:row>
    <x:row r="74" ht="23" customHeight="1">
      <x:c r="A74" s="25" t="str">
        <x:f>TEXT(KPI_Data!A26,"dd mmm")</x:f>
        <x:v>25 Sep</x:v>
      </x:c>
      <x:c r="B74" s="31" t="n">
        <x:f>KPI_Data!C26</x:f>
        <x:v>40</x:v>
      </x:c>
      <x:c r="C74" s="31" t="n">
        <x:f>KPI_Data!D26</x:f>
        <x:v>48</x:v>
      </x:c>
      <x:c r="D74" s="31" t="n">
        <x:f>MAX(0,B74-C74)</x:f>
        <x:v>0</x:v>
      </x:c>
      <x:c r="E74" s="25" t="str">
        <x:f>IF(B74&gt;C74,"Above SLA","Within SLA")</x:f>
        <x:v>Within SLA</x:v>
      </x:c>
      <x:c r="F74" s="25" t="str">
        <x:f>"KPI_Data!A26:E26"</x:f>
        <x:v>KPI_Data!A26:E26</x:v>
      </x:c>
      <x:c r="G74" s="25"/>
      <x:c r="H74" s="25"/>
    </x:row>
    <x:row r="75" ht="23" customHeight="1">
      <x:c r="A75" s="25" t="str">
        <x:f>TEXT(KPI_Data!A27,"dd mmm")</x:f>
        <x:v>26 Sep</x:v>
      </x:c>
      <x:c r="B75" s="31" t="n">
        <x:f>KPI_Data!C27</x:f>
        <x:v>40</x:v>
      </x:c>
      <x:c r="C75" s="31" t="n">
        <x:f>KPI_Data!D27</x:f>
        <x:v>48</x:v>
      </x:c>
      <x:c r="D75" s="31" t="n">
        <x:f>MAX(0,B75-C75)</x:f>
        <x:v>0</x:v>
      </x:c>
      <x:c r="E75" s="25" t="str">
        <x:f>IF(B75&gt;C75,"Above SLA","Within SLA")</x:f>
        <x:v>Within SLA</x:v>
      </x:c>
      <x:c r="F75" s="25" t="str">
        <x:f>"KPI_Data!A27:E27"</x:f>
        <x:v>KPI_Data!A27:E27</x:v>
      </x:c>
      <x:c r="G75" s="25"/>
      <x:c r="H75" s="25"/>
    </x:row>
    <x:row r="76" ht="23" customHeight="1">
      <x:c r="A76" s="25" t="str">
        <x:f>TEXT(KPI_Data!A28,"dd mmm")</x:f>
        <x:v>27 Sep</x:v>
      </x:c>
      <x:c r="B76" s="31" t="n">
        <x:f>KPI_Data!C28</x:f>
        <x:v>39</x:v>
      </x:c>
      <x:c r="C76" s="31" t="n">
        <x:f>KPI_Data!D28</x:f>
        <x:v>48</x:v>
      </x:c>
      <x:c r="D76" s="31" t="n">
        <x:f>MAX(0,B76-C76)</x:f>
        <x:v>0</x:v>
      </x:c>
      <x:c r="E76" s="25" t="str">
        <x:f>IF(B76&gt;C76,"Above SLA","Within SLA")</x:f>
        <x:v>Within SLA</x:v>
      </x:c>
      <x:c r="F76" s="25" t="str">
        <x:f>"KPI_Data!A28:E28"</x:f>
        <x:v>KPI_Data!A28:E28</x:v>
      </x:c>
      <x:c r="G76" s="25"/>
      <x:c r="H76" s="25"/>
    </x:row>
    <x:row r="77" ht="23" customHeight="1">
      <x:c r="A77" s="25" t="str">
        <x:f>TEXT(KPI_Data!A29,"dd mmm")</x:f>
        <x:v>28 Sep</x:v>
      </x:c>
      <x:c r="B77" s="31" t="n">
        <x:f>KPI_Data!C29</x:f>
        <x:v>40</x:v>
      </x:c>
      <x:c r="C77" s="31" t="n">
        <x:f>KPI_Data!D29</x:f>
        <x:v>48</x:v>
      </x:c>
      <x:c r="D77" s="31" t="n">
        <x:f>MAX(0,B77-C77)</x:f>
        <x:v>0</x:v>
      </x:c>
      <x:c r="E77" s="25" t="str">
        <x:f>IF(B77&gt;C77,"Above SLA","Within SLA")</x:f>
        <x:v>Within SLA</x:v>
      </x:c>
      <x:c r="F77" s="25" t="str">
        <x:f>"KPI_Data!A29:E29"</x:f>
        <x:v>KPI_Data!A29:E29</x:v>
      </x:c>
      <x:c r="G77" s="25"/>
      <x:c r="H77" s="25"/>
    </x:row>
  </x:sheetData>
  <x:mergeCells>
    <x:mergeCell ref="A1:H1"/>
    <x:mergeCell ref="A2:H2"/>
    <x:mergeCell ref="A3:H3"/>
    <x:mergeCell ref="A4:H4"/>
    <x:mergeCell ref="A5:H5"/>
    <x:mergeCell ref="A12:H12"/>
    <x:mergeCell ref="A30:H30"/>
    <x:mergeCell ref="A32:H32"/>
    <x:mergeCell ref="A44:H44"/>
    <x:mergeCell ref="A45:H45"/>
    <x:mergeCell ref="A46:H46"/>
    <x:mergeCell ref="A48:H48"/>
  </x:mergeCells>
  <x:conditionalFormatting sqref="E50:E77">
    <x:cfRule type="containsText" dxfId="1" priority="1" operator="containsText" text="Above SLA"/>
  </x:conditionalFormatting>
  <x:dataValidations count="1">
    <x:dataValidation type="list" sqref="H8:H10">
      <x:formula1>"Verified,Corrected,Needs more evidence"</x:formula1>
    </x:dataValidation>
  </x:dataValidations>
  <x:pageMargins left="0.7" right="0.7" top="0.75" bottom="0.75" header="0.3" footer="0.3"/>
  <x:drawing xmlns:r="http://schemas.openxmlformats.org/officeDocument/2006/relationships" r:id="Rb92639216ec347da"/>
</x:worksheet>
</file>