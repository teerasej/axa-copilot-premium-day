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f29a91492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Data" sheetId="1" r:id="R2b7642eb136e4ef2"/>
    <x:sheet xmlns:r="http://schemas.openxmlformats.org/officeDocument/2006/relationships" name="Definitions" sheetId="2" r:id="R17c2fd7132dd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8A1C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FCEDEE"/>
      </x:patternFill>
    </x:fill>
  </x:fills>
  <x:borders count="2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E1B32"/>
      </x:font>
      <x:fill>
        <x:patternFill patternType="solid">
          <x:bgColor rgb="FFFCED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26899dbf74969" /><Relationship Type="http://schemas.openxmlformats.org/officeDocument/2006/relationships/theme" Target="/xl/theme/theme1.xml" Id="Re375c43e0e1b419a" /><Relationship Type="http://schemas.openxmlformats.org/officeDocument/2006/relationships/sharedStrings" Target="/xl/sharedStrings.xml" Id="R7c09712dc3a04f8f" /><Relationship Type="http://schemas.openxmlformats.org/officeDocument/2006/relationships/worksheet" Target="/xl/worksheets/sheet1.xml" Id="R2b7642eb136e4ef2" /><Relationship Type="http://schemas.openxmlformats.org/officeDocument/2006/relationships/worksheet" Target="/xl/worksheets/sheet2.xml" Id="R17c2fd7132dd4e4e" /></Relationships>
</file>

<file path=xl/tables/table1.xml><?xml version="1.0" encoding="utf-8"?>
<x:table xmlns:x="http://schemas.openxmlformats.org/spreadsheetml/2006/main" id="1" name="AsteriaKPIData" displayName="AsteriaKPIData" ref="A1:J29" headerRowCount="1" totalsRowCount="0" totalsRowShown="0">
  <x:autoFilter ref="A1:J29"/>
  <x:tableColumns count="10">
    <x:tableColumn id="1" name="Date"/>
    <x:tableColumn id="2" name="Claim Volume"/>
    <x:tableColumn id="3" name="Claim TAT Hours"/>
    <x:tableColumn id="4" name="Claim SLA Hours"/>
    <x:tableColumn id="5" name="Claim SLA Status"/>
    <x:tableColumn id="6" name="Complaint Count"/>
    <x:tableColumn id="7" name="Digital Leads"/>
    <x:tableColumn id="8" name="Digital Policies"/>
    <x:tableColumn id="9" name="Digital Conversion Rate"/>
    <x:tableColumn id="10" name="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ac494bf1f14b65" /></Relationships>
</file>

<file path=xl/worksheets/sheet1.xml><?xml version="1.0" encoding="utf-8"?>
<x:worksheet xmlns:x="http://schemas.openxmlformats.org/spreadsheetml/2006/main">
  <x:sheetPr>
    <x:tabColor rgb="FF1677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3" hidden="0" customWidth="1"/>
    <x:col min="8" max="8" width="13" hidden="0" customWidth="1"/>
    <x:col min="9" max="9" width="19" hidden="0" customWidth="1"/>
    <x:col min="10" max="10" width="31" hidden="0" customWidth="1"/>
  </x:cols>
  <x:sheetData>
    <x:row r="1" ht="34" customHeight="1">
      <x:c r="A1" s="7" t="str">
        <x:v>Date</x:v>
      </x:c>
      <x:c r="B1" s="7" t="str">
        <x:v>Claim Volume</x:v>
      </x:c>
      <x:c r="C1" s="7" t="str">
        <x:v>Claim TAT Hours</x:v>
      </x:c>
      <x:c r="D1" s="7" t="str">
        <x:v>Claim SLA Hours</x:v>
      </x:c>
      <x:c r="E1" s="7" t="str">
        <x:v>Claim SLA Status</x:v>
      </x:c>
      <x:c r="F1" s="7" t="str">
        <x:v>Complaint Count</x:v>
      </x:c>
      <x:c r="G1" s="7" t="str">
        <x:v>Digital Leads</x:v>
      </x:c>
      <x:c r="H1" s="7" t="str">
        <x:v>Digital Policies</x:v>
      </x:c>
      <x:c r="I1" s="7" t="str">
        <x:v>Digital Conversion Rate</x:v>
      </x:c>
      <x:c r="J1" s="7" t="str">
        <x:v>Context Note</x:v>
      </x:c>
    </x:row>
    <x:row r="2">
      <x:c r="A2" s="12" t="n">
        <x:v>46266</x:v>
      </x:c>
      <x:c r="B2" s="13" t="n">
        <x:v>112</x:v>
      </x:c>
      <x:c r="C2" s="13" t="n">
        <x:v>39</x:v>
      </x:c>
      <x:c r="D2" s="13" t="n">
        <x:v>48</x:v>
      </x:c>
      <x:c r="E2" s="13" t="str">
        <x:f>IF(C2&gt;D2,"Above SLA","Within SLA")</x:f>
        <x:v>Within SLA</x:v>
      </x:c>
      <x:c r="F2" s="13" t="n">
        <x:v>8</x:v>
      </x:c>
      <x:c r="G2" s="13" t="n">
        <x:v>610</x:v>
      </x:c>
      <x:c r="H2" s="13" t="n">
        <x:v>101</x:v>
      </x:c>
      <x:c r="I2" s="14" t="n">
        <x:f>IF(G2=0,0,H2/G2)</x:f>
        <x:v>0.16557377049180327</x:v>
      </x:c>
      <x:c r="J2" s="16" t="str">
        <x:v>Normal operations</x:v>
      </x:c>
    </x:row>
    <x:row r="3">
      <x:c r="A3" s="12" t="n">
        <x:v>46267</x:v>
      </x:c>
      <x:c r="B3" s="13" t="n">
        <x:v>118</x:v>
      </x:c>
      <x:c r="C3" s="13" t="n">
        <x:v>40</x:v>
      </x:c>
      <x:c r="D3" s="13" t="n">
        <x:v>48</x:v>
      </x:c>
      <x:c r="E3" s="13" t="str">
        <x:f>IF(C3&gt;D3,"Above SLA","Within SLA")</x:f>
        <x:v>Within SLA</x:v>
      </x:c>
      <x:c r="F3" s="13" t="n">
        <x:v>9</x:v>
      </x:c>
      <x:c r="G3" s="13" t="n">
        <x:v>625</x:v>
      </x:c>
      <x:c r="H3" s="13" t="n">
        <x:v>103</x:v>
      </x:c>
      <x:c r="I3" s="14" t="n">
        <x:f>IF(G3=0,0,H3/G3)</x:f>
        <x:v>0.1648</x:v>
      </x:c>
      <x:c r="J3" s="16" t="str">
        <x:v>Normal operations</x:v>
      </x:c>
    </x:row>
    <x:row r="4">
      <x:c r="A4" s="12" t="n">
        <x:v>46268</x:v>
      </x:c>
      <x:c r="B4" s="13" t="n">
        <x:v>109</x:v>
      </x:c>
      <x:c r="C4" s="13" t="n">
        <x:v>38</x:v>
      </x:c>
      <x:c r="D4" s="13" t="n">
        <x:v>48</x:v>
      </x:c>
      <x:c r="E4" s="13" t="str">
        <x:f>IF(C4&gt;D4,"Above SLA","Within SLA")</x:f>
        <x:v>Within SLA</x:v>
      </x:c>
      <x:c r="F4" s="13" t="n">
        <x:v>8</x:v>
      </x:c>
      <x:c r="G4" s="13" t="n">
        <x:v>598</x:v>
      </x:c>
      <x:c r="H4" s="13" t="n">
        <x:v>100</x:v>
      </x:c>
      <x:c r="I4" s="14" t="n">
        <x:f>IF(G4=0,0,H4/G4)</x:f>
        <x:v>0.16722408026755853</x:v>
      </x:c>
      <x:c r="J4" s="16" t="str">
        <x:v>Normal operations</x:v>
      </x:c>
    </x:row>
    <x:row r="5">
      <x:c r="A5" s="12" t="n">
        <x:v>46269</x:v>
      </x:c>
      <x:c r="B5" s="13" t="n">
        <x:v>121</x:v>
      </x:c>
      <x:c r="C5" s="13" t="n">
        <x:v>42</x:v>
      </x:c>
      <x:c r="D5" s="13" t="n">
        <x:v>48</x:v>
      </x:c>
      <x:c r="E5" s="13" t="str">
        <x:f>IF(C5&gt;D5,"Above SLA","Within SLA")</x:f>
        <x:v>Within SLA</x:v>
      </x:c>
      <x:c r="F5" s="13" t="n">
        <x:v>10</x:v>
      </x:c>
      <x:c r="G5" s="13" t="n">
        <x:v>640</x:v>
      </x:c>
      <x:c r="H5" s="13" t="n">
        <x:v>104</x:v>
      </x:c>
      <x:c r="I5" s="14" t="n">
        <x:f>IF(G5=0,0,H5/G5)</x:f>
        <x:v>0.1625</x:v>
      </x:c>
      <x:c r="J5" s="16" t="str">
        <x:v>Normal operations</x:v>
      </x:c>
    </x:row>
    <x:row r="6">
      <x:c r="A6" s="12" t="n">
        <x:v>46270</x:v>
      </x:c>
      <x:c r="B6" s="13" t="n">
        <x:v>116</x:v>
      </x:c>
      <x:c r="C6" s="13" t="n">
        <x:v>41</x:v>
      </x:c>
      <x:c r="D6" s="13" t="n">
        <x:v>48</x:v>
      </x:c>
      <x:c r="E6" s="13" t="str">
        <x:f>IF(C6&gt;D6,"Above SLA","Within SLA")</x:f>
        <x:v>Within SLA</x:v>
      </x:c>
      <x:c r="F6" s="13" t="n">
        <x:v>9</x:v>
      </x:c>
      <x:c r="G6" s="13" t="n">
        <x:v>620</x:v>
      </x:c>
      <x:c r="H6" s="13" t="n">
        <x:v>102</x:v>
      </x:c>
      <x:c r="I6" s="14" t="n">
        <x:f>IF(G6=0,0,H6/G6)</x:f>
        <x:v>0.16451612903225807</x:v>
      </x:c>
      <x:c r="J6" s="16" t="str">
        <x:v>Normal operations</x:v>
      </x:c>
    </x:row>
    <x:row r="7">
      <x:c r="A7" s="12" t="n">
        <x:v>46271</x:v>
      </x:c>
      <x:c r="B7" s="13" t="n">
        <x:v>105</x:v>
      </x:c>
      <x:c r="C7" s="13" t="n">
        <x:v>40</x:v>
      </x:c>
      <x:c r="D7" s="13" t="n">
        <x:v>48</x:v>
      </x:c>
      <x:c r="E7" s="13" t="str">
        <x:f>IF(C7&gt;D7,"Above SLA","Within SLA")</x:f>
        <x:v>Within SLA</x:v>
      </x:c>
      <x:c r="F7" s="13" t="n">
        <x:v>8</x:v>
      </x:c>
      <x:c r="G7" s="13" t="n">
        <x:v>590</x:v>
      </x:c>
      <x:c r="H7" s="13" t="n">
        <x:v>98</x:v>
      </x:c>
      <x:c r="I7" s="14" t="n">
        <x:f>IF(G7=0,0,H7/G7)</x:f>
        <x:v>0.16610169491525423</x:v>
      </x:c>
      <x:c r="J7" s="16" t="str">
        <x:v>Normal operations</x:v>
      </x:c>
    </x:row>
    <x:row r="8">
      <x:c r="A8" s="12" t="n">
        <x:v>46272</x:v>
      </x:c>
      <x:c r="B8" s="13" t="n">
        <x:v>124</x:v>
      </x:c>
      <x:c r="C8" s="13" t="n">
        <x:v>43</x:v>
      </x:c>
      <x:c r="D8" s="13" t="n">
        <x:v>48</x:v>
      </x:c>
      <x:c r="E8" s="13" t="str">
        <x:f>IF(C8&gt;D8,"Above SLA","Within SLA")</x:f>
        <x:v>Within SLA</x:v>
      </x:c>
      <x:c r="F8" s="13" t="n">
        <x:v>10</x:v>
      </x:c>
      <x:c r="G8" s="13" t="n">
        <x:v>655</x:v>
      </x:c>
      <x:c r="H8" s="13" t="n">
        <x:v>106</x:v>
      </x:c>
      <x:c r="I8" s="14" t="n">
        <x:f>IF(G8=0,0,H8/G8)</x:f>
        <x:v>0.1618320610687023</x:v>
      </x:c>
      <x:c r="J8" s="16" t="str">
        <x:v>Normal operations</x:v>
      </x:c>
    </x:row>
    <x:row r="9">
      <x:c r="A9" s="12" t="n">
        <x:v>46273</x:v>
      </x:c>
      <x:c r="B9" s="13" t="n">
        <x:v>128</x:v>
      </x:c>
      <x:c r="C9" s="13" t="n">
        <x:v>44</x:v>
      </x:c>
      <x:c r="D9" s="13" t="n">
        <x:v>48</x:v>
      </x:c>
      <x:c r="E9" s="13" t="str">
        <x:f>IF(C9&gt;D9,"Above SLA","Within SLA")</x:f>
        <x:v>Within SLA</x:v>
      </x:c>
      <x:c r="F9" s="13" t="n">
        <x:v>11</x:v>
      </x:c>
      <x:c r="G9" s="13" t="n">
        <x:v>670</x:v>
      </x:c>
      <x:c r="H9" s="13" t="n">
        <x:v>108</x:v>
      </x:c>
      <x:c r="I9" s="14" t="n">
        <x:f>IF(G9=0,0,H9/G9)</x:f>
        <x:v>0.16119402985074627</x:v>
      </x:c>
      <x:c r="J9" s="16" t="str">
        <x:v>Normal operations</x:v>
      </x:c>
    </x:row>
    <x:row r="10">
      <x:c r="A10" s="12" t="n">
        <x:v>46274</x:v>
      </x:c>
      <x:c r="B10" s="13" t="n">
        <x:v>119</x:v>
      </x:c>
      <x:c r="C10" s="13" t="n">
        <x:v>42</x:v>
      </x:c>
      <x:c r="D10" s="13" t="n">
        <x:v>48</x:v>
      </x:c>
      <x:c r="E10" s="13" t="str">
        <x:f>IF(C10&gt;D10,"Above SLA","Within SLA")</x:f>
        <x:v>Within SLA</x:v>
      </x:c>
      <x:c r="F10" s="13" t="n">
        <x:v>9</x:v>
      </x:c>
      <x:c r="G10" s="13" t="n">
        <x:v>648</x:v>
      </x:c>
      <x:c r="H10" s="13" t="n">
        <x:v>106</x:v>
      </x:c>
      <x:c r="I10" s="14" t="n">
        <x:f>IF(G10=0,0,H10/G10)</x:f>
        <x:v>0.16358024691358025</x:v>
      </x:c>
      <x:c r="J10" s="16" t="str">
        <x:v>Normal operations</x:v>
      </x:c>
    </x:row>
    <x:row r="11">
      <x:c r="A11" s="12" t="n">
        <x:v>46275</x:v>
      </x:c>
      <x:c r="B11" s="13" t="n">
        <x:v>126</x:v>
      </x:c>
      <x:c r="C11" s="13" t="n">
        <x:v>45</x:v>
      </x:c>
      <x:c r="D11" s="13" t="n">
        <x:v>48</x:v>
      </x:c>
      <x:c r="E11" s="13" t="str">
        <x:f>IF(C11&gt;D11,"Above SLA","Within SLA")</x:f>
        <x:v>Within SLA</x:v>
      </x:c>
      <x:c r="F11" s="13" t="n">
        <x:v>11</x:v>
      </x:c>
      <x:c r="G11" s="13" t="n">
        <x:v>680</x:v>
      </x:c>
      <x:c r="H11" s="13" t="n">
        <x:v>109</x:v>
      </x:c>
      <x:c r="I11" s="14" t="n">
        <x:f>IF(G11=0,0,H11/G11)</x:f>
        <x:v>0.16029411764705884</x:v>
      </x:c>
      <x:c r="J11" s="16" t="str">
        <x:v>Normal operations</x:v>
      </x:c>
    </x:row>
    <x:row r="12">
      <x:c r="A12" s="12" t="n">
        <x:v>46276</x:v>
      </x:c>
      <x:c r="B12" s="13" t="n">
        <x:v>132</x:v>
      </x:c>
      <x:c r="C12" s="13" t="n">
        <x:v>46</x:v>
      </x:c>
      <x:c r="D12" s="13" t="n">
        <x:v>48</x:v>
      </x:c>
      <x:c r="E12" s="13" t="str">
        <x:f>IF(C12&gt;D12,"Above SLA","Within SLA")</x:f>
        <x:v>Within SLA</x:v>
      </x:c>
      <x:c r="F12" s="13" t="n">
        <x:v>12</x:v>
      </x:c>
      <x:c r="G12" s="13" t="n">
        <x:v>695</x:v>
      </x:c>
      <x:c r="H12" s="13" t="n">
        <x:v>110</x:v>
      </x:c>
      <x:c r="I12" s="14" t="n">
        <x:f>IF(G12=0,0,H12/G12)</x:f>
        <x:v>0.15827338129496402</x:v>
      </x:c>
      <x:c r="J12" s="16" t="str">
        <x:v>Normal operations</x:v>
      </x:c>
    </x:row>
    <x:row r="13">
      <x:c r="A13" s="12" t="n">
        <x:v>46277</x:v>
      </x:c>
      <x:c r="B13" s="13" t="n">
        <x:v>127</x:v>
      </x:c>
      <x:c r="C13" s="13" t="n">
        <x:v>45</x:v>
      </x:c>
      <x:c r="D13" s="13" t="n">
        <x:v>48</x:v>
      </x:c>
      <x:c r="E13" s="13" t="str">
        <x:f>IF(C13&gt;D13,"Above SLA","Within SLA")</x:f>
        <x:v>Within SLA</x:v>
      </x:c>
      <x:c r="F13" s="13" t="n">
        <x:v>11</x:v>
      </x:c>
      <x:c r="G13" s="13" t="n">
        <x:v>688</x:v>
      </x:c>
      <x:c r="H13" s="13" t="n">
        <x:v>109</x:v>
      </x:c>
      <x:c r="I13" s="14" t="n">
        <x:f>IF(G13=0,0,H13/G13)</x:f>
        <x:v>0.15843023255813954</x:v>
      </x:c>
      <x:c r="J13" s="16" t="str">
        <x:v>Normal operations</x:v>
      </x:c>
    </x:row>
    <x:row r="14">
      <x:c r="A14" s="12" t="n">
        <x:v>46278</x:v>
      </x:c>
      <x:c r="B14" s="13" t="n">
        <x:v>134</x:v>
      </x:c>
      <x:c r="C14" s="13" t="n">
        <x:v>47</x:v>
      </x:c>
      <x:c r="D14" s="13" t="n">
        <x:v>48</x:v>
      </x:c>
      <x:c r="E14" s="13" t="str">
        <x:f>IF(C14&gt;D14,"Above SLA","Within SLA")</x:f>
        <x:v>Within SLA</x:v>
      </x:c>
      <x:c r="F14" s="13" t="n">
        <x:v>12</x:v>
      </x:c>
      <x:c r="G14" s="13" t="n">
        <x:v>700</x:v>
      </x:c>
      <x:c r="H14" s="13" t="n">
        <x:v>110</x:v>
      </x:c>
      <x:c r="I14" s="14" t="n">
        <x:f>IF(G14=0,0,H14/G14)</x:f>
        <x:v>0.15714285714285714</x:v>
      </x:c>
      <x:c r="J14" s="16" t="str">
        <x:v>Routing-rule deployment recorded</x:v>
      </x:c>
    </x:row>
    <x:row r="15">
      <x:c r="A15" s="12" t="n">
        <x:v>46279</x:v>
      </x:c>
      <x:c r="B15" s="13" t="n">
        <x:v>142</x:v>
      </x:c>
      <x:c r="C15" s="13" t="n">
        <x:v>50</x:v>
      </x:c>
      <x:c r="D15" s="13" t="n">
        <x:v>48</x:v>
      </x:c>
      <x:c r="E15" s="13" t="str">
        <x:f>IF(C15&gt;D15,"Above SLA","Within SLA")</x:f>
        <x:v>Above SLA</x:v>
      </x:c>
      <x:c r="F15" s="13" t="n">
        <x:v>13</x:v>
      </x:c>
      <x:c r="G15" s="13" t="n">
        <x:v>715</x:v>
      </x:c>
      <x:c r="H15" s="13" t="n">
        <x:v>111</x:v>
      </x:c>
      <x:c r="I15" s="14" t="n">
        <x:f>IF(G15=0,0,H15/G15)</x:f>
        <x:v>0.15524475524475526</x:v>
      </x:c>
      <x:c r="J15" s="16" t="str">
        <x:v>Post-deployment monitoring</x:v>
      </x:c>
    </x:row>
    <x:row r="16">
      <x:c r="A16" s="12" t="n">
        <x:v>46280</x:v>
      </x:c>
      <x:c r="B16" s="13" t="n">
        <x:v>148</x:v>
      </x:c>
      <x:c r="C16" s="13" t="n">
        <x:v>55</x:v>
      </x:c>
      <x:c r="D16" s="13" t="n">
        <x:v>48</x:v>
      </x:c>
      <x:c r="E16" s="13" t="str">
        <x:f>IF(C16&gt;D16,"Above SLA","Within SLA")</x:f>
        <x:v>Above SLA</x:v>
      </x:c>
      <x:c r="F16" s="13" t="n">
        <x:v>14</x:v>
      </x:c>
      <x:c r="G16" s="13" t="n">
        <x:v>725</x:v>
      </x:c>
      <x:c r="H16" s="13" t="n">
        <x:v>111</x:v>
      </x:c>
      <x:c r="I16" s="14" t="n">
        <x:f>IF(G16=0,0,H16/G16)</x:f>
        <x:v>0.15310344827586206</x:v>
      </x:c>
      <x:c r="J16" s="16" t="str">
        <x:v>Post-deployment monitoring</x:v>
      </x:c>
    </x:row>
    <x:row r="17">
      <x:c r="A17" s="12" t="n">
        <x:v>46281</x:v>
      </x:c>
      <x:c r="B17" s="13" t="n">
        <x:v>151</x:v>
      </x:c>
      <x:c r="C17" s="13" t="n">
        <x:v>58</x:v>
      </x:c>
      <x:c r="D17" s="13" t="n">
        <x:v>48</x:v>
      </x:c>
      <x:c r="E17" s="13" t="str">
        <x:f>IF(C17&gt;D17,"Above SLA","Within SLA")</x:f>
        <x:v>Above SLA</x:v>
      </x:c>
      <x:c r="F17" s="13" t="n">
        <x:v>15</x:v>
      </x:c>
      <x:c r="G17" s="13" t="n">
        <x:v>735</x:v>
      </x:c>
      <x:c r="H17" s="13" t="n">
        <x:v>111</x:v>
      </x:c>
      <x:c r="I17" s="14" t="n">
        <x:f>IF(G17=0,0,H17/G17)</x:f>
        <x:v>0.1510204081632653</x:v>
      </x:c>
      <x:c r="J17" s="16" t="str">
        <x:v>Post-deployment monitoring</x:v>
      </x:c>
    </x:row>
    <x:row r="18">
      <x:c r="A18" s="12" t="n">
        <x:v>46282</x:v>
      </x:c>
      <x:c r="B18" s="13" t="n">
        <x:v>146</x:v>
      </x:c>
      <x:c r="C18" s="13" t="n">
        <x:v>52</x:v>
      </x:c>
      <x:c r="D18" s="13" t="n">
        <x:v>48</x:v>
      </x:c>
      <x:c r="E18" s="13" t="str">
        <x:f>IF(C18&gt;D18,"Above SLA","Within SLA")</x:f>
        <x:v>Above SLA</x:v>
      </x:c>
      <x:c r="F18" s="13" t="n">
        <x:v>16</x:v>
      </x:c>
      <x:c r="G18" s="13" t="n">
        <x:v>720</x:v>
      </x:c>
      <x:c r="H18" s="13" t="n">
        <x:v>108</x:v>
      </x:c>
      <x:c r="I18" s="14" t="n">
        <x:f>IF(G18=0,0,H18/G18)</x:f>
        <x:v>0.15</x:v>
      </x:c>
      <x:c r="J18" s="16" t="str">
        <x:v>Post-deployment monitoring</x:v>
      </x:c>
    </x:row>
    <x:row r="19">
      <x:c r="A19" s="12" t="n">
        <x:v>46283</x:v>
      </x:c>
      <x:c r="B19" s="13" t="n">
        <x:v>140</x:v>
      </x:c>
      <x:c r="C19" s="13" t="n">
        <x:v>47</x:v>
      </x:c>
      <x:c r="D19" s="13" t="n">
        <x:v>48</x:v>
      </x:c>
      <x:c r="E19" s="13" t="str">
        <x:f>IF(C19&gt;D19,"Above SLA","Within SLA")</x:f>
        <x:v>Within SLA</x:v>
      </x:c>
      <x:c r="F19" s="13" t="n">
        <x:v>17</x:v>
      </x:c>
      <x:c r="G19" s="13" t="n">
        <x:v>710</x:v>
      </x:c>
      <x:c r="H19" s="13" t="n">
        <x:v>105</x:v>
      </x:c>
      <x:c r="I19" s="14" t="n">
        <x:f>IF(G19=0,0,H19/G19)</x:f>
        <x:v>0.14788732394366197</x:v>
      </x:c>
      <x:c r="J19" s="16" t="str">
        <x:v>Larger queue handoff recorded</x:v>
      </x:c>
    </x:row>
    <x:row r="20">
      <x:c r="A20" s="12" t="n">
        <x:v>46284</x:v>
      </x:c>
      <x:c r="B20" s="13" t="n">
        <x:v>138</x:v>
      </x:c>
      <x:c r="C20" s="13" t="n">
        <x:v>46</x:v>
      </x:c>
      <x:c r="D20" s="13" t="n">
        <x:v>48</x:v>
      </x:c>
      <x:c r="E20" s="13" t="str">
        <x:f>IF(C20&gt;D20,"Above SLA","Within SLA")</x:f>
        <x:v>Within SLA</x:v>
      </x:c>
      <x:c r="F20" s="13" t="n">
        <x:v>18</x:v>
      </x:c>
      <x:c r="G20" s="13" t="n">
        <x:v>705</x:v>
      </x:c>
      <x:c r="H20" s="13" t="n">
        <x:v>102</x:v>
      </x:c>
      <x:c r="I20" s="14" t="n">
        <x:f>IF(G20=0,0,H20/G20)</x:f>
        <x:v>0.14468085106382977</x:v>
      </x:c>
      <x:c r="J20" s="16" t="str">
        <x:v>Complaint review requested</x:v>
      </x:c>
    </x:row>
    <x:row r="21">
      <x:c r="A21" s="12" t="n">
        <x:v>46285</x:v>
      </x:c>
      <x:c r="B21" s="13" t="n">
        <x:v>135</x:v>
      </x:c>
      <x:c r="C21" s="13" t="n">
        <x:v>45</x:v>
      </x:c>
      <x:c r="D21" s="13" t="n">
        <x:v>48</x:v>
      </x:c>
      <x:c r="E21" s="13" t="str">
        <x:f>IF(C21&gt;D21,"Above SLA","Within SLA")</x:f>
        <x:v>Within SLA</x:v>
      </x:c>
      <x:c r="F21" s="13" t="n">
        <x:v>22</x:v>
      </x:c>
      <x:c r="G21" s="13" t="n">
        <x:v>698</x:v>
      </x:c>
      <x:c r="H21" s="13" t="n">
        <x:v>99</x:v>
      </x:c>
      <x:c r="I21" s="14" t="n">
        <x:f>IF(G21=0,0,H21/G21)</x:f>
        <x:v>0.14183381088825214</x:v>
      </x:c>
      <x:c r="J21" s="16" t="str">
        <x:v>Complaint review requested</x:v>
      </x:c>
    </x:row>
    <x:row r="22">
      <x:c r="A22" s="12" t="n">
        <x:v>46286</x:v>
      </x:c>
      <x:c r="B22" s="13" t="n">
        <x:v>133</x:v>
      </x:c>
      <x:c r="C22" s="13" t="n">
        <x:v>44</x:v>
      </x:c>
      <x:c r="D22" s="13" t="n">
        <x:v>48</x:v>
      </x:c>
      <x:c r="E22" s="13" t="str">
        <x:f>IF(C22&gt;D22,"Above SLA","Within SLA")</x:f>
        <x:v>Within SLA</x:v>
      </x:c>
      <x:c r="F22" s="13" t="n">
        <x:v>24</x:v>
      </x:c>
      <x:c r="G22" s="13" t="n">
        <x:v>690</x:v>
      </x:c>
      <x:c r="H22" s="13" t="n">
        <x:v>96</x:v>
      </x:c>
      <x:c r="I22" s="14" t="n">
        <x:f>IF(G22=0,0,H22/G22)</x:f>
        <x:v>0.1391304347826087</x:v>
      </x:c>
      <x:c r="J22" s="16" t="str">
        <x:v>Complaint review requested</x:v>
      </x:c>
    </x:row>
    <x:row r="23">
      <x:c r="A23" s="12" t="n">
        <x:v>46287</x:v>
      </x:c>
      <x:c r="B23" s="13" t="n">
        <x:v>130</x:v>
      </x:c>
      <x:c r="C23" s="13" t="n">
        <x:v>43</x:v>
      </x:c>
      <x:c r="D23" s="13" t="n">
        <x:v>48</x:v>
      </x:c>
      <x:c r="E23" s="13" t="str">
        <x:f>IF(C23&gt;D23,"Above SLA","Within SLA")</x:f>
        <x:v>Within SLA</x:v>
      </x:c>
      <x:c r="F23" s="13" t="n">
        <x:v>16</x:v>
      </x:c>
      <x:c r="G23" s="13" t="n">
        <x:v>540</x:v>
      </x:c>
      <x:c r="H23" s="13" t="n">
        <x:v>61</x:v>
      </x:c>
      <x:c r="I23" s="14" t="n">
        <x:f>IF(G23=0,0,H23/G23)</x:f>
        <x:v>0.11296296296296296</x:v>
      </x:c>
      <x:c r="J23" s="16" t="str">
        <x:v>Digital campaign refresh began</x:v>
      </x:c>
    </x:row>
    <x:row r="24">
      <x:c r="A24" s="12" t="n">
        <x:v>46288</x:v>
      </x:c>
      <x:c r="B24" s="13" t="n">
        <x:v>129</x:v>
      </x:c>
      <x:c r="C24" s="13" t="n">
        <x:v>42</x:v>
      </x:c>
      <x:c r="D24" s="13" t="n">
        <x:v>48</x:v>
      </x:c>
      <x:c r="E24" s="13" t="str">
        <x:f>IF(C24&gt;D24,"Above SLA","Within SLA")</x:f>
        <x:v>Within SLA</x:v>
      </x:c>
      <x:c r="F24" s="13" t="n">
        <x:v>14</x:v>
      </x:c>
      <x:c r="G24" s="13" t="n">
        <x:v>550</x:v>
      </x:c>
      <x:c r="H24" s="13" t="n">
        <x:v>58</x:v>
      </x:c>
      <x:c r="I24" s="14" t="n">
        <x:f>IF(G24=0,0,H24/G24)</x:f>
        <x:v>0.10545454545454545</x:v>
      </x:c>
      <x:c r="J24" s="16" t="str">
        <x:v>Campaign monitoring</x:v>
      </x:c>
    </x:row>
    <x:row r="25">
      <x:c r="A25" s="12" t="n">
        <x:v>46289</x:v>
      </x:c>
      <x:c r="B25" s="13" t="n">
        <x:v>126</x:v>
      </x:c>
      <x:c r="C25" s="13" t="n">
        <x:v>41</x:v>
      </x:c>
      <x:c r="D25" s="13" t="n">
        <x:v>48</x:v>
      </x:c>
      <x:c r="E25" s="13" t="str">
        <x:f>IF(C25&gt;D25,"Above SLA","Within SLA")</x:f>
        <x:v>Within SLA</x:v>
      </x:c>
      <x:c r="F25" s="13" t="n">
        <x:v>13</x:v>
      </x:c>
      <x:c r="G25" s="13" t="n">
        <x:v>560</x:v>
      </x:c>
      <x:c r="H25" s="13" t="n">
        <x:v>55</x:v>
      </x:c>
      <x:c r="I25" s="14" t="n">
        <x:f>IF(G25=0,0,H25/G25)</x:f>
        <x:v>0.09821428571428571</x:v>
      </x:c>
      <x:c r="J25" s="16" t="str">
        <x:v>Campaign monitoring</x:v>
      </x:c>
    </x:row>
    <x:row r="26">
      <x:c r="A26" s="12" t="n">
        <x:v>46290</x:v>
      </x:c>
      <x:c r="B26" s="13" t="n">
        <x:v>124</x:v>
      </x:c>
      <x:c r="C26" s="13" t="n">
        <x:v>40</x:v>
      </x:c>
      <x:c r="D26" s="13" t="n">
        <x:v>48</x:v>
      </x:c>
      <x:c r="E26" s="13" t="str">
        <x:f>IF(C26&gt;D26,"Above SLA","Within SLA")</x:f>
        <x:v>Within SLA</x:v>
      </x:c>
      <x:c r="F26" s="13" t="n">
        <x:v>12</x:v>
      </x:c>
      <x:c r="G26" s="13" t="n">
        <x:v>570</x:v>
      </x:c>
      <x:c r="H26" s="13" t="n">
        <x:v>54</x:v>
      </x:c>
      <x:c r="I26" s="14" t="n">
        <x:f>IF(G26=0,0,H26/G26)</x:f>
        <x:v>0.09473684210526316</x:v>
      </x:c>
      <x:c r="J26" s="16" t="str">
        <x:v>Campaign monitoring</x:v>
      </x:c>
    </x:row>
    <x:row r="27">
      <x:c r="A27" s="12" t="n">
        <x:v>46291</x:v>
      </x:c>
      <x:c r="B27" s="13" t="n">
        <x:v>120</x:v>
      </x:c>
      <x:c r="C27" s="13" t="n">
        <x:v>40</x:v>
      </x:c>
      <x:c r="D27" s="13" t="n">
        <x:v>48</x:v>
      </x:c>
      <x:c r="E27" s="13" t="str">
        <x:f>IF(C27&gt;D27,"Above SLA","Within SLA")</x:f>
        <x:v>Within SLA</x:v>
      </x:c>
      <x:c r="F27" s="13" t="n">
        <x:v>11</x:v>
      </x:c>
      <x:c r="G27" s="13" t="n">
        <x:v>610</x:v>
      </x:c>
      <x:c r="H27" s="13" t="n">
        <x:v>80</x:v>
      </x:c>
      <x:c r="I27" s="14" t="n">
        <x:f>IF(G27=0,0,H27/G27)</x:f>
        <x:v>0.13114754098360656</x:v>
      </x:c>
      <x:c r="J27" s="16" t="str">
        <x:v>Normal operations</x:v>
      </x:c>
    </x:row>
    <x:row r="28">
      <x:c r="A28" s="12" t="n">
        <x:v>46292</x:v>
      </x:c>
      <x:c r="B28" s="13" t="n">
        <x:v>118</x:v>
      </x:c>
      <x:c r="C28" s="13" t="n">
        <x:v>39</x:v>
      </x:c>
      <x:c r="D28" s="13" t="n">
        <x:v>48</x:v>
      </x:c>
      <x:c r="E28" s="13" t="str">
        <x:f>IF(C28&gt;D28,"Above SLA","Within SLA")</x:f>
        <x:v>Within SLA</x:v>
      </x:c>
      <x:c r="F28" s="13" t="n">
        <x:v>10</x:v>
      </x:c>
      <x:c r="G28" s="13" t="n">
        <x:v>625</x:v>
      </x:c>
      <x:c r="H28" s="13" t="n">
        <x:v>91</x:v>
      </x:c>
      <x:c r="I28" s="14" t="n">
        <x:f>IF(G28=0,0,H28/G28)</x:f>
        <x:v>0.1456</x:v>
      </x:c>
      <x:c r="J28" s="16" t="str">
        <x:v>Normal operations</x:v>
      </x:c>
    </x:row>
    <x:row r="29">
      <x:c r="A29" s="12" t="n">
        <x:v>46293</x:v>
      </x:c>
      <x:c r="B29" s="13" t="n">
        <x:v>122</x:v>
      </x:c>
      <x:c r="C29" s="13" t="n">
        <x:v>40</x:v>
      </x:c>
      <x:c r="D29" s="13" t="n">
        <x:v>48</x:v>
      </x:c>
      <x:c r="E29" s="13" t="str">
        <x:f>IF(C29&gt;D29,"Above SLA","Within SLA")</x:f>
        <x:v>Within SLA</x:v>
      </x:c>
      <x:c r="F29" s="13" t="n">
        <x:v>10</x:v>
      </x:c>
      <x:c r="G29" s="13" t="n">
        <x:v>640</x:v>
      </x:c>
      <x:c r="H29" s="13" t="n">
        <x:v>99</x:v>
      </x:c>
      <x:c r="I29" s="14" t="n">
        <x:f>IF(G29=0,0,H29/G29)</x:f>
        <x:v>0.1546875</x:v>
      </x:c>
      <x:c r="J29" s="16" t="str">
        <x:v>Leadership review scheduled</x:v>
      </x:c>
    </x:row>
  </x:sheetData>
  <x:conditionalFormatting sqref="E2:E29">
    <x:cfRule type="containsText" dxfId="0" priority="1" operator="containsText" text="Above SLA"/>
  </x:conditionalFormatting>
  <x:conditionalFormatting sqref="F2:F29">
    <x:cfRule type="colorScale" priority="2">
      <x:colorScale>
        <x:cfvo type="min"/>
        <x:cfvo type="percentile" val="50"/>
        <x:cfvo type="max"/>
        <x:color rgb="FFE7F4EA"/>
        <x:color rgb="FFFFF3CD"/>
        <x:color rgb="FFF8D7DA"/>
      </x:colorScale>
    </x:cfRule>
  </x:conditionalFormatting>
  <x:conditionalFormatting sqref="I2:I29">
    <x:cfRule type="colorScale" priority="3">
      <x:colorScale>
        <x:cfvo type="min"/>
        <x:cfvo type="percentile" val="50"/>
        <x:cfvo type="max"/>
        <x:color rgb="FFF8D7DA"/>
        <x:color rgb="FFFFF3CD"/>
        <x:color rgb="FFE7F4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5ac494bf1f14b65"/>
  </x:tableParts>
</x:worksheet>
</file>

<file path=xl/worksheets/sheet2.xml><?xml version="1.0" encoding="utf-8"?>
<x:worksheet xmlns:x="http://schemas.openxmlformats.org/spreadsheetml/2006/main">
  <x:sheetPr>
    <x:tabColor rgb="FF1329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44" hidden="0" customWidth="1"/>
  </x:cols>
  <x:sheetData>
    <x:row r="1" ht="15" hidden="0" customHeight="1">
      <x:c r="A1" s="19" t="str">
        <x:v>Metric</x:v>
      </x:c>
      <x:c r="B1" s="19" t="str">
        <x:v>Definition</x:v>
      </x:c>
      <x:c r="C1" s="19" t="str">
        <x:v>Verification note</x:v>
      </x:c>
    </x:row>
    <x:row r="2" ht="15" hidden="0" customHeight="1">
      <x:c r="A2" s="20" t="str">
        <x:v>Claim Volume</x:v>
      </x:c>
      <x:c r="B2" s="20" t="str">
        <x:v>Number of claims entering the daily service queue.</x:v>
      </x:c>
      <x:c r="C2" s="20" t="str">
        <x:v>Synthetic input value; no formula.</x:v>
      </x:c>
    </x:row>
    <x:row r="3" ht="15" hidden="0" customHeight="1">
      <x:c r="A3" s="20" t="str">
        <x:v>Claim TAT Hours</x:v>
      </x:c>
      <x:c r="B3" s="20" t="str">
        <x:v>Average claim turnaround time in hours.</x:v>
      </x:c>
      <x:c r="C3" s="20" t="str">
        <x:v>Compare with Claim SLA Hours for the same row.</x:v>
      </x:c>
    </x:row>
    <x:row r="4" ht="15" hidden="0" customHeight="1">
      <x:c r="A4" s="20" t="str">
        <x:v>Claim SLA Hours</x:v>
      </x:c>
      <x:c r="B4" s="20" t="str">
        <x:v>Internal service-level threshold used for this exercise.</x:v>
      </x:c>
      <x:c r="C4" s="20" t="str">
        <x:v>Fixed at 48 hours throughout the dataset.</x:v>
      </x:c>
    </x:row>
    <x:row r="5" ht="26.399999618530273" hidden="0" customHeight="1">
      <x:c r="A5" s="20" t="str">
        <x:v>Claim SLA Status</x:v>
      </x:c>
      <x:c r="B5" s="20" t="str">
        <x:v>Whether Claim TAT Hours is above the daily threshold.</x:v>
      </x:c>
      <x:c r="C5" s="20" t="str">
        <x:v>Formula: IF Claim TAT Hours &gt; Claim SLA Hours, then Above SLA.</x:v>
      </x:c>
    </x:row>
    <x:row r="6" ht="26.399999618530273" hidden="0" customHeight="1">
      <x:c r="A6" s="20" t="str">
        <x:v>Complaint Count</x:v>
      </x:c>
      <x:c r="B6" s="20" t="str">
        <x:v>Daily service complaints in the synthetic dataset.</x:v>
      </x:c>
      <x:c r="C6" s="20" t="str">
        <x:v>Compare dates and sustained patterns; do not infer a cause.</x:v>
      </x:c>
    </x:row>
    <x:row r="7" ht="15" hidden="0" customHeight="1">
      <x:c r="A7" s="20" t="str">
        <x:v>Digital Conversion Rate</x:v>
      </x:c>
      <x:c r="B7" s="20" t="str">
        <x:v>Digital Policies divided by Digital Leads.</x:v>
      </x:c>
      <x:c r="C7" s="20" t="str">
        <x:v>Formula result displayed as a percentage.</x:v>
      </x:c>
    </x:row>
    <x:row r="8" ht="15" hidden="0" customHeight="1">
      <x:c r="A8" s="20" t="str">
        <x:v>Context Note</x:v>
      </x:c>
      <x:c r="B8" s="20" t="str">
        <x:v>A recorded event or observation for the same date.</x:v>
      </x:c>
      <x:c r="C8" s="20" t="str">
        <x:v>Timing is not proof of causality.</x:v>
      </x:c>
    </x:row>
    <x:row r="9" ht="15" hidden="0" customHeight="1">
      <x:c r="A9" s="21"/>
      <x:c r="B9" s="21"/>
      <x:c r="C9" s="21"/>
    </x:row>
    <x:row r="10" ht="26.399999618530273" hidden="0" customHeight="1">
      <x:c r="A10" s="22" t="str">
        <x:v>Data boundary</x:v>
      </x:c>
      <x:c r="B10" s="22" t="str">
        <x:v>All content in this workbook is fictional and created for training.</x:v>
      </x:c>
      <x:c r="C10" s="22" t="str">
        <x:v>Do not combine it with production or personal data.</x:v>
      </x:c>
    </x:row>
  </x:sheetData>
  <x:pageMargins left="0.7" right="0.7" top="0.75" bottom="0.75" header="0.3" footer="0.3"/>
</x:worksheet>
</file>